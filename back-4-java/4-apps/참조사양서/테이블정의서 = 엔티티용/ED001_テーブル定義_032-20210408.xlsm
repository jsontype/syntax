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veloper01.DESKTOP-LIQ8E0P\Desktop\DB_BACKUP\NEW_DDL-20210408\"/>
    </mc:Choice>
  </mc:AlternateContent>
  <xr:revisionPtr revIDLastSave="0" documentId="13_ncr:1_{D27FE93D-CC91-48CA-9765-F4BF08A78A00}" xr6:coauthVersionLast="46" xr6:coauthVersionMax="46" xr10:uidLastSave="{00000000-0000-0000-0000-000000000000}"/>
  <bookViews>
    <workbookView xWindow="75" yWindow="-16320" windowWidth="29040" windowHeight="15840" tabRatio="809" xr2:uid="{00000000-000D-0000-FFFF-FFFF00000000}"/>
  </bookViews>
  <sheets>
    <sheet name="check" sheetId="66" r:id="rId1"/>
    <sheet name="地域マスター" sheetId="118" r:id="rId2"/>
    <sheet name="部材マスター" sheetId="119" r:id="rId3"/>
    <sheet name="共通マスター" sheetId="120" r:id="rId4"/>
    <sheet name="画面項目変換マスター" sheetId="121" r:id="rId5"/>
    <sheet name="屋内設計ドキュメント" sheetId="122" r:id="rId6"/>
    <sheet name="屋内運用ドキュメント" sheetId="128" r:id="rId7"/>
    <sheet name="設計対象部材一覧" sheetId="123" r:id="rId8"/>
    <sheet name="運用対象部材一覧" sheetId="132" r:id="rId9"/>
    <sheet name="ユーザー部材一覧" sheetId="124" r:id="rId10"/>
    <sheet name="ユーザー専用設定情報" sheetId="125" r:id="rId11"/>
    <sheet name="タスク履歴" sheetId="126" r:id="rId12"/>
    <sheet name="オーダー情報管理" sheetId="127" r:id="rId13"/>
    <sheet name="サイズ見積り" sheetId="65" r:id="rId14"/>
  </sheets>
  <functionGroups builtInGroupCount="19"/>
  <definedNames>
    <definedName name="_xlnm.Print_Area" localSheetId="12">オーダー情報管理!$A$1:$AH$115</definedName>
    <definedName name="_xlnm.Print_Area" localSheetId="11">タスク履歴!$A$1:$AH$115</definedName>
    <definedName name="_xlnm.Print_Area" localSheetId="10">ユーザー専用設定情報!$A$1:$AH$114</definedName>
    <definedName name="_xlnm.Print_Area" localSheetId="9">ユーザー部材一覧!$A$1:$AH$114</definedName>
    <definedName name="_xlnm.Print_Area" localSheetId="8">運用対象部材一覧!$A$1:$AH$114</definedName>
    <definedName name="_xlnm.Print_Area" localSheetId="6">屋内運用ドキュメント!$A$1:$AH$96</definedName>
    <definedName name="_xlnm.Print_Area" localSheetId="5">屋内設計ドキュメント!$A$1:$AH$126</definedName>
    <definedName name="_xlnm.Print_Area" localSheetId="4">画面項目変換マスター!$A$1:$AH$114</definedName>
    <definedName name="_xlnm.Print_Area" localSheetId="3">共通マスター!$A$1:$AH$114</definedName>
    <definedName name="_xlnm.Print_Area" localSheetId="7">設計対象部材一覧!$A$1:$AH$114</definedName>
    <definedName name="_xlnm.Print_Area" localSheetId="1">地域マスター!$A$1:$AH$114</definedName>
    <definedName name="_xlnm.Print_Area" localSheetId="2">部材マスター!$A$1:$AH$117</definedName>
    <definedName name="_xlnm.Print_Titles" localSheetId="12">オーダー情報管理!$9:$11</definedName>
    <definedName name="_xlnm.Print_Titles" localSheetId="11">タスク履歴!$9:$11</definedName>
    <definedName name="_xlnm.Print_Titles" localSheetId="10">ユーザー専用設定情報!$9:$11</definedName>
    <definedName name="_xlnm.Print_Titles" localSheetId="9">ユーザー部材一覧!$9:$11</definedName>
    <definedName name="_xlnm.Print_Titles" localSheetId="8">運用対象部材一覧!$9:$11</definedName>
    <definedName name="_xlnm.Print_Titles" localSheetId="6">屋内運用ドキュメント!$9:$11</definedName>
    <definedName name="_xlnm.Print_Titles" localSheetId="5">屋内設計ドキュメント!$9:$11</definedName>
    <definedName name="_xlnm.Print_Titles" localSheetId="4">画面項目変換マスター!$9:$11</definedName>
    <definedName name="_xlnm.Print_Titles" localSheetId="3">共通マスター!$9:$11</definedName>
    <definedName name="_xlnm.Print_Titles" localSheetId="7">設計対象部材一覧!$9:$11</definedName>
    <definedName name="_xlnm.Print_Titles" localSheetId="1">地域マスター!$9:$11</definedName>
    <definedName name="_xlnm.Print_Titles" localSheetId="2">部材マスター!$9:$11</definedName>
  </definedNames>
  <calcPr calcId="191029"/>
</workbook>
</file>

<file path=xl/calcChain.xml><?xml version="1.0" encoding="utf-8"?>
<calcChain xmlns="http://schemas.openxmlformats.org/spreadsheetml/2006/main">
  <c r="B114" i="132" l="1"/>
  <c r="B113" i="132"/>
  <c r="B112" i="132"/>
  <c r="B111" i="132"/>
  <c r="B110" i="132"/>
  <c r="B109" i="132"/>
  <c r="B108" i="132"/>
  <c r="B107" i="132"/>
  <c r="B106" i="132"/>
  <c r="B105" i="132"/>
  <c r="B104" i="132"/>
  <c r="B103" i="132"/>
  <c r="B102" i="132"/>
  <c r="B101" i="132"/>
  <c r="B100" i="132"/>
  <c r="B99" i="132"/>
  <c r="B98" i="132"/>
  <c r="B97" i="132"/>
  <c r="B96" i="132"/>
  <c r="B95" i="132"/>
  <c r="B94" i="132"/>
  <c r="B93" i="132"/>
  <c r="B92" i="132"/>
  <c r="B91" i="132"/>
  <c r="B90" i="132"/>
  <c r="B89" i="132"/>
  <c r="B88" i="132"/>
  <c r="B87" i="132"/>
  <c r="B86" i="132"/>
  <c r="B85" i="132"/>
  <c r="B84" i="132"/>
  <c r="B83" i="132"/>
  <c r="B82" i="132"/>
  <c r="B81" i="132"/>
  <c r="B80" i="132"/>
  <c r="B79" i="132"/>
  <c r="B78" i="132"/>
  <c r="B77" i="132"/>
  <c r="B76" i="132"/>
  <c r="B75" i="132"/>
  <c r="B74" i="132"/>
  <c r="B73" i="132"/>
  <c r="B72" i="132"/>
  <c r="B71" i="132"/>
  <c r="B70" i="132"/>
  <c r="B69" i="132"/>
  <c r="B68" i="132"/>
  <c r="B67" i="132"/>
  <c r="B66" i="132"/>
  <c r="B65" i="132"/>
  <c r="B64" i="132"/>
  <c r="B63" i="132"/>
  <c r="B62" i="132"/>
  <c r="B61" i="132"/>
  <c r="B60" i="132"/>
  <c r="B59" i="132"/>
  <c r="B58" i="132"/>
  <c r="B57" i="132"/>
  <c r="B56" i="132"/>
  <c r="B55" i="132"/>
  <c r="B54" i="132"/>
  <c r="B53" i="132"/>
  <c r="B52" i="132"/>
  <c r="B51" i="132"/>
  <c r="B50" i="132"/>
  <c r="B49" i="132"/>
  <c r="B48" i="132"/>
  <c r="B47" i="132"/>
  <c r="B46" i="132"/>
  <c r="B45" i="132"/>
  <c r="B44" i="132"/>
  <c r="B43" i="132"/>
  <c r="B42" i="132"/>
  <c r="B41" i="132"/>
  <c r="B40" i="132"/>
  <c r="B39" i="132"/>
  <c r="B38" i="132"/>
  <c r="B37" i="132"/>
  <c r="B36" i="132"/>
  <c r="B35" i="132"/>
  <c r="B34" i="132"/>
  <c r="B33" i="132"/>
  <c r="B32" i="132"/>
  <c r="B31" i="132"/>
  <c r="B30" i="132"/>
  <c r="B29" i="132"/>
  <c r="B28" i="132"/>
  <c r="B27" i="132"/>
  <c r="B26" i="132"/>
  <c r="B25" i="132"/>
  <c r="B24" i="132"/>
  <c r="B23" i="132"/>
  <c r="B22" i="132"/>
  <c r="B21" i="132"/>
  <c r="B20" i="132"/>
  <c r="B19" i="132"/>
  <c r="B18" i="132"/>
  <c r="B17" i="132"/>
  <c r="B16" i="132"/>
  <c r="B15" i="132"/>
  <c r="B14" i="132"/>
  <c r="B13" i="132"/>
  <c r="B12" i="132"/>
  <c r="B79" i="122"/>
  <c r="B80" i="122"/>
  <c r="B81" i="122"/>
  <c r="B82" i="122"/>
  <c r="B83" i="122"/>
  <c r="B84" i="122"/>
  <c r="B96" i="128"/>
  <c r="B95" i="128"/>
  <c r="B94" i="128"/>
  <c r="B93" i="128"/>
  <c r="B92" i="128"/>
  <c r="B91" i="128"/>
  <c r="B90" i="128"/>
  <c r="B89" i="128"/>
  <c r="B88" i="128"/>
  <c r="B87" i="128"/>
  <c r="B86" i="128"/>
  <c r="B85" i="128"/>
  <c r="B84" i="128"/>
  <c r="B83" i="128"/>
  <c r="B82" i="128"/>
  <c r="B81" i="128"/>
  <c r="B80" i="128"/>
  <c r="B79" i="128"/>
  <c r="B78" i="128"/>
  <c r="B77" i="128"/>
  <c r="B76" i="128"/>
  <c r="B75" i="128"/>
  <c r="B74" i="128"/>
  <c r="B73" i="128"/>
  <c r="B72" i="128"/>
  <c r="B71" i="128"/>
  <c r="B70" i="128"/>
  <c r="B69" i="128"/>
  <c r="B68" i="128"/>
  <c r="B67" i="128"/>
  <c r="B66" i="128"/>
  <c r="B65" i="128"/>
  <c r="B64" i="128"/>
  <c r="B63" i="128"/>
  <c r="B62" i="128"/>
  <c r="B61" i="128"/>
  <c r="B60" i="128"/>
  <c r="B59" i="128"/>
  <c r="B58" i="128"/>
  <c r="B57" i="128"/>
  <c r="B56" i="128"/>
  <c r="B55" i="128"/>
  <c r="B54" i="128"/>
  <c r="B53" i="128"/>
  <c r="B52" i="128"/>
  <c r="B51" i="128"/>
  <c r="B50" i="128"/>
  <c r="B49" i="128"/>
  <c r="B48" i="128"/>
  <c r="B47" i="128"/>
  <c r="B46" i="128"/>
  <c r="B45" i="128"/>
  <c r="B44" i="128"/>
  <c r="B43" i="128"/>
  <c r="B42" i="128"/>
  <c r="B41" i="128"/>
  <c r="B40" i="128"/>
  <c r="B39" i="128"/>
  <c r="B38" i="128"/>
  <c r="B37" i="128"/>
  <c r="B36" i="128"/>
  <c r="B35" i="128"/>
  <c r="B34" i="128"/>
  <c r="B33" i="128"/>
  <c r="B32" i="128"/>
  <c r="B31" i="128"/>
  <c r="B30" i="128"/>
  <c r="B29" i="128"/>
  <c r="B28" i="128"/>
  <c r="B27" i="128"/>
  <c r="B26" i="128"/>
  <c r="B25" i="128"/>
  <c r="B24" i="128"/>
  <c r="B23" i="128"/>
  <c r="B22" i="128"/>
  <c r="B21" i="128"/>
  <c r="B20" i="128"/>
  <c r="B19" i="128"/>
  <c r="B18" i="128"/>
  <c r="B17" i="128"/>
  <c r="B16" i="128"/>
  <c r="B15" i="128"/>
  <c r="B14" i="128"/>
  <c r="B13" i="128"/>
  <c r="B12" i="128"/>
  <c r="B78" i="122"/>
  <c r="B77" i="122"/>
  <c r="B76" i="122"/>
  <c r="B75" i="122"/>
  <c r="B74" i="122"/>
  <c r="B73" i="122"/>
  <c r="B72" i="122"/>
  <c r="B71" i="122"/>
  <c r="B70" i="122"/>
  <c r="B69" i="122"/>
  <c r="B68" i="122"/>
  <c r="B67" i="122"/>
  <c r="B66" i="122"/>
  <c r="B65" i="122"/>
  <c r="B64" i="122"/>
  <c r="B63" i="122"/>
  <c r="B62" i="122"/>
  <c r="B61" i="122"/>
  <c r="B60" i="122"/>
  <c r="B59" i="122"/>
  <c r="B58" i="122"/>
  <c r="B57" i="122"/>
  <c r="B56" i="122"/>
  <c r="B55" i="122"/>
  <c r="B54" i="122"/>
  <c r="B53" i="122"/>
  <c r="B52" i="122"/>
  <c r="B51" i="122"/>
  <c r="B50" i="122"/>
  <c r="B49" i="122"/>
  <c r="B48" i="122"/>
  <c r="B47" i="122"/>
  <c r="B46" i="122"/>
  <c r="B45" i="122"/>
  <c r="B44" i="122"/>
  <c r="B43" i="122"/>
  <c r="B42" i="122"/>
  <c r="B41" i="122"/>
  <c r="B40" i="122"/>
  <c r="B39" i="122"/>
  <c r="B38" i="122"/>
  <c r="B37" i="122"/>
  <c r="B36" i="122"/>
  <c r="B35" i="122"/>
  <c r="B34" i="122"/>
  <c r="B33" i="122"/>
  <c r="B32" i="122"/>
  <c r="B31" i="122"/>
  <c r="B30" i="122"/>
  <c r="B29" i="122"/>
  <c r="B28" i="122"/>
  <c r="B27" i="122"/>
  <c r="B26" i="122"/>
  <c r="B25" i="122"/>
  <c r="B24" i="122"/>
  <c r="B23" i="122"/>
  <c r="B22" i="122"/>
  <c r="B21" i="122"/>
  <c r="B20" i="122"/>
  <c r="B19" i="122"/>
  <c r="B18" i="122"/>
  <c r="B16" i="122"/>
  <c r="B15" i="122"/>
  <c r="B14" i="122"/>
  <c r="B13" i="122"/>
  <c r="B12" i="122"/>
  <c r="B115" i="127"/>
  <c r="B114" i="127"/>
  <c r="B113" i="127"/>
  <c r="B112" i="127"/>
  <c r="B111" i="127"/>
  <c r="B110" i="127"/>
  <c r="B109" i="127"/>
  <c r="B108" i="127"/>
  <c r="B107" i="127"/>
  <c r="B106" i="127"/>
  <c r="B105" i="127"/>
  <c r="B104" i="127"/>
  <c r="B103" i="127"/>
  <c r="B102" i="127"/>
  <c r="B101" i="127"/>
  <c r="B100" i="127"/>
  <c r="B99" i="127"/>
  <c r="B98" i="127"/>
  <c r="B97" i="127"/>
  <c r="B96" i="127"/>
  <c r="B95" i="127"/>
  <c r="B94" i="127"/>
  <c r="B93" i="127"/>
  <c r="B92" i="127"/>
  <c r="B91" i="127"/>
  <c r="B90" i="127"/>
  <c r="B89" i="127"/>
  <c r="B88" i="127"/>
  <c r="B87" i="127"/>
  <c r="B86" i="127"/>
  <c r="B85" i="127"/>
  <c r="B84" i="127"/>
  <c r="B83" i="127"/>
  <c r="B82" i="127"/>
  <c r="B81" i="127"/>
  <c r="B80" i="127"/>
  <c r="B79" i="127"/>
  <c r="B78" i="127"/>
  <c r="B77" i="127"/>
  <c r="B76" i="127"/>
  <c r="B75" i="127"/>
  <c r="B74" i="127"/>
  <c r="B73" i="127"/>
  <c r="B72" i="127"/>
  <c r="B71" i="127"/>
  <c r="B70" i="127"/>
  <c r="B69" i="127"/>
  <c r="B68" i="127"/>
  <c r="B67" i="127"/>
  <c r="B66" i="127"/>
  <c r="B65" i="127"/>
  <c r="B64" i="127"/>
  <c r="B63" i="127"/>
  <c r="B62" i="127"/>
  <c r="B61" i="127"/>
  <c r="B60" i="127"/>
  <c r="B59" i="127"/>
  <c r="B58" i="127"/>
  <c r="B57" i="127"/>
  <c r="B56" i="127"/>
  <c r="B55" i="127"/>
  <c r="B54" i="127"/>
  <c r="B53" i="127"/>
  <c r="B52" i="127"/>
  <c r="B51" i="127"/>
  <c r="B50" i="127"/>
  <c r="B49" i="127"/>
  <c r="B48" i="127"/>
  <c r="B47" i="127"/>
  <c r="B46" i="127"/>
  <c r="B45" i="127"/>
  <c r="B44" i="127"/>
  <c r="B43" i="127"/>
  <c r="B42" i="127"/>
  <c r="B41" i="127"/>
  <c r="B40" i="127"/>
  <c r="B39" i="127"/>
  <c r="B38" i="127"/>
  <c r="B37" i="127"/>
  <c r="B36" i="127"/>
  <c r="B35" i="127"/>
  <c r="B34" i="127"/>
  <c r="B33" i="127"/>
  <c r="B32" i="127"/>
  <c r="B31" i="127"/>
  <c r="B30" i="127"/>
  <c r="B29" i="127"/>
  <c r="B28" i="127"/>
  <c r="B27" i="127"/>
  <c r="B26" i="127"/>
  <c r="B25" i="127"/>
  <c r="B24" i="127"/>
  <c r="B23" i="127"/>
  <c r="B22" i="127"/>
  <c r="B21" i="127"/>
  <c r="B20" i="127"/>
  <c r="B19" i="127"/>
  <c r="B18" i="127"/>
  <c r="B17" i="127"/>
  <c r="B16" i="127"/>
  <c r="B14" i="127"/>
  <c r="B13" i="127"/>
  <c r="B12" i="127"/>
  <c r="B115" i="126"/>
  <c r="B114" i="126"/>
  <c r="B113" i="126"/>
  <c r="B112" i="126"/>
  <c r="B111" i="126"/>
  <c r="B110" i="126"/>
  <c r="B109" i="126"/>
  <c r="B108" i="126"/>
  <c r="B107" i="126"/>
  <c r="B106" i="126"/>
  <c r="B105" i="126"/>
  <c r="B104" i="126"/>
  <c r="B103" i="126"/>
  <c r="B102" i="126"/>
  <c r="B101" i="126"/>
  <c r="B100" i="126"/>
  <c r="B99" i="126"/>
  <c r="B98" i="126"/>
  <c r="B97" i="126"/>
  <c r="B96" i="126"/>
  <c r="B95" i="126"/>
  <c r="B94" i="126"/>
  <c r="B93" i="126"/>
  <c r="B92" i="126"/>
  <c r="B91" i="126"/>
  <c r="B90" i="126"/>
  <c r="B89" i="126"/>
  <c r="B88" i="126"/>
  <c r="B87" i="126"/>
  <c r="B86" i="126"/>
  <c r="B85" i="126"/>
  <c r="B84" i="126"/>
  <c r="B83" i="126"/>
  <c r="B82" i="126"/>
  <c r="B81" i="126"/>
  <c r="B80" i="126"/>
  <c r="B79" i="126"/>
  <c r="B78" i="126"/>
  <c r="B77" i="126"/>
  <c r="B76" i="126"/>
  <c r="B75" i="126"/>
  <c r="B74" i="126"/>
  <c r="B73" i="126"/>
  <c r="B72" i="126"/>
  <c r="B71" i="126"/>
  <c r="B70" i="126"/>
  <c r="B69" i="126"/>
  <c r="B68" i="126"/>
  <c r="B67" i="126"/>
  <c r="B66" i="126"/>
  <c r="B65" i="126"/>
  <c r="B64" i="126"/>
  <c r="B63" i="126"/>
  <c r="B62" i="126"/>
  <c r="B61" i="126"/>
  <c r="B60" i="126"/>
  <c r="B59" i="126"/>
  <c r="B58" i="126"/>
  <c r="B57" i="126"/>
  <c r="B56" i="126"/>
  <c r="B55" i="126"/>
  <c r="B54" i="126"/>
  <c r="B53" i="126"/>
  <c r="B52" i="126"/>
  <c r="B51" i="126"/>
  <c r="B50" i="126"/>
  <c r="B49" i="126"/>
  <c r="B48" i="126"/>
  <c r="B47" i="126"/>
  <c r="B46" i="126"/>
  <c r="B45" i="126"/>
  <c r="B44" i="126"/>
  <c r="B43" i="126"/>
  <c r="B42" i="126"/>
  <c r="B41" i="126"/>
  <c r="B40" i="126"/>
  <c r="B39" i="126"/>
  <c r="B38" i="126"/>
  <c r="B37" i="126"/>
  <c r="B36" i="126"/>
  <c r="B35" i="126"/>
  <c r="B34" i="126"/>
  <c r="B33" i="126"/>
  <c r="B32" i="126"/>
  <c r="B31" i="126"/>
  <c r="B30" i="126"/>
  <c r="B29" i="126"/>
  <c r="B28" i="126"/>
  <c r="B27" i="126"/>
  <c r="B26" i="126"/>
  <c r="B25" i="126"/>
  <c r="B24" i="126"/>
  <c r="B23" i="126"/>
  <c r="B22" i="126"/>
  <c r="B21" i="126"/>
  <c r="B20" i="126"/>
  <c r="B19" i="126"/>
  <c r="B18" i="126"/>
  <c r="B17" i="126"/>
  <c r="B16" i="126"/>
  <c r="B15" i="126"/>
  <c r="B14" i="126"/>
  <c r="B13" i="126"/>
  <c r="B12" i="126"/>
  <c r="B114" i="125"/>
  <c r="B113" i="125"/>
  <c r="B112" i="125"/>
  <c r="B111" i="125"/>
  <c r="B110" i="125"/>
  <c r="B109" i="125"/>
  <c r="B108" i="125"/>
  <c r="B107" i="125"/>
  <c r="B106" i="125"/>
  <c r="B105" i="125"/>
  <c r="B104" i="125"/>
  <c r="B103" i="125"/>
  <c r="B102" i="125"/>
  <c r="B101" i="125"/>
  <c r="B100" i="125"/>
  <c r="B99" i="125"/>
  <c r="B98" i="125"/>
  <c r="B97" i="125"/>
  <c r="B96" i="125"/>
  <c r="B95" i="125"/>
  <c r="B94" i="125"/>
  <c r="B93" i="125"/>
  <c r="B92" i="125"/>
  <c r="B91" i="125"/>
  <c r="B90" i="125"/>
  <c r="B89" i="125"/>
  <c r="B88" i="125"/>
  <c r="B87" i="125"/>
  <c r="B86" i="125"/>
  <c r="B85" i="125"/>
  <c r="B84" i="125"/>
  <c r="B83" i="125"/>
  <c r="B82" i="125"/>
  <c r="B81" i="125"/>
  <c r="B80" i="125"/>
  <c r="B79" i="125"/>
  <c r="B78" i="125"/>
  <c r="B77" i="125"/>
  <c r="B76" i="125"/>
  <c r="B75" i="125"/>
  <c r="B74" i="125"/>
  <c r="B73" i="125"/>
  <c r="B72" i="125"/>
  <c r="B71" i="125"/>
  <c r="B70" i="125"/>
  <c r="B69" i="125"/>
  <c r="B68" i="125"/>
  <c r="B67" i="125"/>
  <c r="B66" i="125"/>
  <c r="B65" i="125"/>
  <c r="B64" i="125"/>
  <c r="B63" i="125"/>
  <c r="B62" i="125"/>
  <c r="B61" i="125"/>
  <c r="B60" i="125"/>
  <c r="B59" i="125"/>
  <c r="B58" i="125"/>
  <c r="B57" i="125"/>
  <c r="B56" i="125"/>
  <c r="B55" i="125"/>
  <c r="B54" i="125"/>
  <c r="B53" i="125"/>
  <c r="B52" i="125"/>
  <c r="B51" i="125"/>
  <c r="B50" i="125"/>
  <c r="B49" i="125"/>
  <c r="B48" i="125"/>
  <c r="B47" i="125"/>
  <c r="B46" i="125"/>
  <c r="B45" i="125"/>
  <c r="B44" i="125"/>
  <c r="B43" i="125"/>
  <c r="B42" i="125"/>
  <c r="B41" i="125"/>
  <c r="B40" i="125"/>
  <c r="B39" i="125"/>
  <c r="B38" i="125"/>
  <c r="B37" i="125"/>
  <c r="B36" i="125"/>
  <c r="B35" i="125"/>
  <c r="B34" i="125"/>
  <c r="B33" i="125"/>
  <c r="B32" i="125"/>
  <c r="B31" i="125"/>
  <c r="B30" i="125"/>
  <c r="B29" i="125"/>
  <c r="B28" i="125"/>
  <c r="B27" i="125"/>
  <c r="B26" i="125"/>
  <c r="B25" i="125"/>
  <c r="B24" i="125"/>
  <c r="B23" i="125"/>
  <c r="B22" i="125"/>
  <c r="B21" i="125"/>
  <c r="B20" i="125"/>
  <c r="B19" i="125"/>
  <c r="B18" i="125"/>
  <c r="B17" i="125"/>
  <c r="B16" i="125"/>
  <c r="B15" i="125"/>
  <c r="B14" i="125"/>
  <c r="B13" i="125"/>
  <c r="B12" i="125"/>
  <c r="B114" i="124"/>
  <c r="B113" i="124"/>
  <c r="B112" i="124"/>
  <c r="B111" i="124"/>
  <c r="B110" i="124"/>
  <c r="B109" i="124"/>
  <c r="B108" i="124"/>
  <c r="B107" i="124"/>
  <c r="B106" i="124"/>
  <c r="B105" i="124"/>
  <c r="B104" i="124"/>
  <c r="B103" i="124"/>
  <c r="B102" i="124"/>
  <c r="B101" i="124"/>
  <c r="B100" i="124"/>
  <c r="B99" i="124"/>
  <c r="B98" i="124"/>
  <c r="B97" i="124"/>
  <c r="B96" i="124"/>
  <c r="B95" i="124"/>
  <c r="B94" i="124"/>
  <c r="B93" i="124"/>
  <c r="B92" i="124"/>
  <c r="B91" i="124"/>
  <c r="B90" i="124"/>
  <c r="B89" i="124"/>
  <c r="B88" i="124"/>
  <c r="B87" i="124"/>
  <c r="B86" i="124"/>
  <c r="B85" i="124"/>
  <c r="B84" i="124"/>
  <c r="B83" i="124"/>
  <c r="B82" i="124"/>
  <c r="B81" i="124"/>
  <c r="B80" i="124"/>
  <c r="B79" i="124"/>
  <c r="B78" i="124"/>
  <c r="B77" i="124"/>
  <c r="B76" i="124"/>
  <c r="B75" i="124"/>
  <c r="B74" i="124"/>
  <c r="B73" i="124"/>
  <c r="B72" i="124"/>
  <c r="B71" i="124"/>
  <c r="B70" i="124"/>
  <c r="B69" i="124"/>
  <c r="B68" i="124"/>
  <c r="B67" i="124"/>
  <c r="B66" i="124"/>
  <c r="B65" i="124"/>
  <c r="B64" i="124"/>
  <c r="B63" i="124"/>
  <c r="B62" i="124"/>
  <c r="B61" i="124"/>
  <c r="B60" i="124"/>
  <c r="B59" i="124"/>
  <c r="B58" i="124"/>
  <c r="B57" i="124"/>
  <c r="B56" i="124"/>
  <c r="B55" i="124"/>
  <c r="B54" i="124"/>
  <c r="B53" i="124"/>
  <c r="B52" i="124"/>
  <c r="B51" i="124"/>
  <c r="B50" i="124"/>
  <c r="B49" i="124"/>
  <c r="B48" i="124"/>
  <c r="B47" i="124"/>
  <c r="B46" i="124"/>
  <c r="B45" i="124"/>
  <c r="B44" i="124"/>
  <c r="B43" i="124"/>
  <c r="B42" i="124"/>
  <c r="B41" i="124"/>
  <c r="B40" i="124"/>
  <c r="B39" i="124"/>
  <c r="B38" i="124"/>
  <c r="B37" i="124"/>
  <c r="B36" i="124"/>
  <c r="B35" i="124"/>
  <c r="B34" i="124"/>
  <c r="B33" i="124"/>
  <c r="B32" i="124"/>
  <c r="B31" i="124"/>
  <c r="B30" i="124"/>
  <c r="B29" i="124"/>
  <c r="B28" i="124"/>
  <c r="B27" i="124"/>
  <c r="B26" i="124"/>
  <c r="B25" i="124"/>
  <c r="B24" i="124"/>
  <c r="B23" i="124"/>
  <c r="B22" i="124"/>
  <c r="B21" i="124"/>
  <c r="B20" i="124"/>
  <c r="B19" i="124"/>
  <c r="B18" i="124"/>
  <c r="B17" i="124"/>
  <c r="B16" i="124"/>
  <c r="B15" i="124"/>
  <c r="B14" i="124"/>
  <c r="B13" i="124"/>
  <c r="B12" i="124"/>
  <c r="B114" i="123"/>
  <c r="B113" i="123"/>
  <c r="B112" i="123"/>
  <c r="B111" i="123"/>
  <c r="B110" i="123"/>
  <c r="B109" i="123"/>
  <c r="B108" i="123"/>
  <c r="B107" i="123"/>
  <c r="B106" i="123"/>
  <c r="B105" i="123"/>
  <c r="B104" i="123"/>
  <c r="B103" i="123"/>
  <c r="B102" i="123"/>
  <c r="B101" i="123"/>
  <c r="B100" i="123"/>
  <c r="B99" i="123"/>
  <c r="B98" i="123"/>
  <c r="B97" i="123"/>
  <c r="B96" i="123"/>
  <c r="B95" i="123"/>
  <c r="B94" i="123"/>
  <c r="B93" i="123"/>
  <c r="B92" i="123"/>
  <c r="B91" i="123"/>
  <c r="B90" i="123"/>
  <c r="B89" i="123"/>
  <c r="B88" i="123"/>
  <c r="B87" i="123"/>
  <c r="B86" i="123"/>
  <c r="B85" i="123"/>
  <c r="B84" i="123"/>
  <c r="B83" i="123"/>
  <c r="B82" i="123"/>
  <c r="B81" i="123"/>
  <c r="B80" i="123"/>
  <c r="B79" i="123"/>
  <c r="B78" i="123"/>
  <c r="B77" i="123"/>
  <c r="B76" i="123"/>
  <c r="B75" i="123"/>
  <c r="B74" i="123"/>
  <c r="B73" i="123"/>
  <c r="B72" i="123"/>
  <c r="B71" i="123"/>
  <c r="B70" i="123"/>
  <c r="B69" i="123"/>
  <c r="B68" i="123"/>
  <c r="B67" i="123"/>
  <c r="B66" i="123"/>
  <c r="B65" i="123"/>
  <c r="B64" i="123"/>
  <c r="B63" i="123"/>
  <c r="B62" i="123"/>
  <c r="B61" i="123"/>
  <c r="B60" i="123"/>
  <c r="B59" i="123"/>
  <c r="B58" i="123"/>
  <c r="B57" i="123"/>
  <c r="B56" i="123"/>
  <c r="B55" i="123"/>
  <c r="B54" i="123"/>
  <c r="B53" i="123"/>
  <c r="B52" i="123"/>
  <c r="B51" i="123"/>
  <c r="B50" i="123"/>
  <c r="B49" i="123"/>
  <c r="B48" i="123"/>
  <c r="B47" i="123"/>
  <c r="B46" i="123"/>
  <c r="B45" i="123"/>
  <c r="B44" i="123"/>
  <c r="B43" i="123"/>
  <c r="B42" i="123"/>
  <c r="B41" i="123"/>
  <c r="B40" i="123"/>
  <c r="B39" i="123"/>
  <c r="B38" i="123"/>
  <c r="B37" i="123"/>
  <c r="B36" i="123"/>
  <c r="B35" i="123"/>
  <c r="B34" i="123"/>
  <c r="B33" i="123"/>
  <c r="B32" i="123"/>
  <c r="B31" i="123"/>
  <c r="B30" i="123"/>
  <c r="B29" i="123"/>
  <c r="B28" i="123"/>
  <c r="B27" i="123"/>
  <c r="B26" i="123"/>
  <c r="B25" i="123"/>
  <c r="B24" i="123"/>
  <c r="B23" i="123"/>
  <c r="B22" i="123"/>
  <c r="B21" i="123"/>
  <c r="B20" i="123"/>
  <c r="B19" i="123"/>
  <c r="B18" i="123"/>
  <c r="B17" i="123"/>
  <c r="B16" i="123"/>
  <c r="B15" i="123"/>
  <c r="B14" i="123"/>
  <c r="B13" i="123"/>
  <c r="B12" i="123"/>
  <c r="B126" i="122"/>
  <c r="B125" i="122"/>
  <c r="B124" i="122"/>
  <c r="B123" i="122"/>
  <c r="B122" i="122"/>
  <c r="B121" i="122"/>
  <c r="B120" i="122"/>
  <c r="B119" i="122"/>
  <c r="B118" i="122"/>
  <c r="B117" i="122"/>
  <c r="B116" i="122"/>
  <c r="B115" i="122"/>
  <c r="B114" i="122"/>
  <c r="B113" i="122"/>
  <c r="B112" i="122"/>
  <c r="B111" i="122"/>
  <c r="B110" i="122"/>
  <c r="B109" i="122"/>
  <c r="B108" i="122"/>
  <c r="B107" i="122"/>
  <c r="B106" i="122"/>
  <c r="B105" i="122"/>
  <c r="B104" i="122"/>
  <c r="B103" i="122"/>
  <c r="B102" i="122"/>
  <c r="B101" i="122"/>
  <c r="B100" i="122"/>
  <c r="B99" i="122"/>
  <c r="B98" i="122"/>
  <c r="B97" i="122"/>
  <c r="B96" i="122"/>
  <c r="B95" i="122"/>
  <c r="B94" i="122"/>
  <c r="B93" i="122"/>
  <c r="B92" i="122"/>
  <c r="B91" i="122"/>
  <c r="B90" i="122"/>
  <c r="B89" i="122"/>
  <c r="B88" i="122"/>
  <c r="B87" i="122"/>
  <c r="B86" i="122"/>
  <c r="B85" i="122"/>
  <c r="B114" i="121"/>
  <c r="B113" i="121"/>
  <c r="B112" i="121"/>
  <c r="B111" i="121"/>
  <c r="B110" i="121"/>
  <c r="B109" i="121"/>
  <c r="B108" i="121"/>
  <c r="B107" i="121"/>
  <c r="B106" i="121"/>
  <c r="B105" i="121"/>
  <c r="B104" i="121"/>
  <c r="B103" i="121"/>
  <c r="B102" i="121"/>
  <c r="B101" i="121"/>
  <c r="B100" i="121"/>
  <c r="B99" i="121"/>
  <c r="B98" i="121"/>
  <c r="B97" i="121"/>
  <c r="B96" i="121"/>
  <c r="B95" i="121"/>
  <c r="B94" i="121"/>
  <c r="B93" i="121"/>
  <c r="B92" i="121"/>
  <c r="B91" i="121"/>
  <c r="B90" i="121"/>
  <c r="B89" i="121"/>
  <c r="B88" i="121"/>
  <c r="B87" i="121"/>
  <c r="B86" i="121"/>
  <c r="B85" i="121"/>
  <c r="B84" i="121"/>
  <c r="B83" i="121"/>
  <c r="B82" i="121"/>
  <c r="B81" i="121"/>
  <c r="B80" i="121"/>
  <c r="B79" i="121"/>
  <c r="B78" i="121"/>
  <c r="B77" i="121"/>
  <c r="B76" i="121"/>
  <c r="B75" i="121"/>
  <c r="B74" i="121"/>
  <c r="B73" i="121"/>
  <c r="B72" i="121"/>
  <c r="B71" i="121"/>
  <c r="B70" i="121"/>
  <c r="B69" i="121"/>
  <c r="B68" i="121"/>
  <c r="B67" i="121"/>
  <c r="B66" i="121"/>
  <c r="B65" i="121"/>
  <c r="B64" i="121"/>
  <c r="B63" i="121"/>
  <c r="B62" i="121"/>
  <c r="B61" i="121"/>
  <c r="B60" i="121"/>
  <c r="B59" i="121"/>
  <c r="B58" i="121"/>
  <c r="B57" i="121"/>
  <c r="B56" i="121"/>
  <c r="B55" i="121"/>
  <c r="B54" i="121"/>
  <c r="B53" i="121"/>
  <c r="B52" i="121"/>
  <c r="B51" i="121"/>
  <c r="B50" i="121"/>
  <c r="B49" i="121"/>
  <c r="B48" i="121"/>
  <c r="B47" i="121"/>
  <c r="B46" i="121"/>
  <c r="B45" i="121"/>
  <c r="B44" i="121"/>
  <c r="B43" i="121"/>
  <c r="B42" i="121"/>
  <c r="B41" i="121"/>
  <c r="B40" i="121"/>
  <c r="B39" i="121"/>
  <c r="B38" i="121"/>
  <c r="B37" i="121"/>
  <c r="B36" i="121"/>
  <c r="B35" i="121"/>
  <c r="B34" i="121"/>
  <c r="B33" i="121"/>
  <c r="B32" i="121"/>
  <c r="B31" i="121"/>
  <c r="B30" i="121"/>
  <c r="B29" i="121"/>
  <c r="B28" i="121"/>
  <c r="B27" i="121"/>
  <c r="B26" i="121"/>
  <c r="B25" i="121"/>
  <c r="B24" i="121"/>
  <c r="B23" i="121"/>
  <c r="B22" i="121"/>
  <c r="B21" i="121"/>
  <c r="B20" i="121"/>
  <c r="B19" i="121"/>
  <c r="B18" i="121"/>
  <c r="B17" i="121"/>
  <c r="B16" i="121"/>
  <c r="B15" i="121"/>
  <c r="B14" i="121"/>
  <c r="B13" i="121"/>
  <c r="B12" i="121"/>
  <c r="B114" i="120"/>
  <c r="B113" i="120"/>
  <c r="B112" i="120"/>
  <c r="B111" i="120"/>
  <c r="B110" i="120"/>
  <c r="B109" i="120"/>
  <c r="B108" i="120"/>
  <c r="B107" i="120"/>
  <c r="B106" i="120"/>
  <c r="B105" i="120"/>
  <c r="B104" i="120"/>
  <c r="B103" i="120"/>
  <c r="B102" i="120"/>
  <c r="B101" i="120"/>
  <c r="B100" i="120"/>
  <c r="B99" i="120"/>
  <c r="B98" i="120"/>
  <c r="B97" i="120"/>
  <c r="B96" i="120"/>
  <c r="B95" i="120"/>
  <c r="B94" i="120"/>
  <c r="B93" i="120"/>
  <c r="B92" i="120"/>
  <c r="B91" i="120"/>
  <c r="B90" i="120"/>
  <c r="B89" i="120"/>
  <c r="B88" i="120"/>
  <c r="B87" i="120"/>
  <c r="B86" i="120"/>
  <c r="B85" i="120"/>
  <c r="B84" i="120"/>
  <c r="B83" i="120"/>
  <c r="B82" i="120"/>
  <c r="B81" i="120"/>
  <c r="B80" i="120"/>
  <c r="B79" i="120"/>
  <c r="B78" i="120"/>
  <c r="B77" i="120"/>
  <c r="B76" i="120"/>
  <c r="B75" i="120"/>
  <c r="B74" i="120"/>
  <c r="B73" i="120"/>
  <c r="B72" i="120"/>
  <c r="B71" i="120"/>
  <c r="B70" i="120"/>
  <c r="B69" i="120"/>
  <c r="B68" i="120"/>
  <c r="B67" i="120"/>
  <c r="B66" i="120"/>
  <c r="B65" i="120"/>
  <c r="B64" i="120"/>
  <c r="B63" i="120"/>
  <c r="B62" i="120"/>
  <c r="B61" i="120"/>
  <c r="B60" i="120"/>
  <c r="B59" i="120"/>
  <c r="B58" i="120"/>
  <c r="B57" i="120"/>
  <c r="B56" i="120"/>
  <c r="B55" i="120"/>
  <c r="B54" i="120"/>
  <c r="B53" i="120"/>
  <c r="B52" i="120"/>
  <c r="B51" i="120"/>
  <c r="B50" i="120"/>
  <c r="B49" i="120"/>
  <c r="B48" i="120"/>
  <c r="B47" i="120"/>
  <c r="B46" i="120"/>
  <c r="B45" i="120"/>
  <c r="B44" i="120"/>
  <c r="B43" i="120"/>
  <c r="B42" i="120"/>
  <c r="B41" i="120"/>
  <c r="B40" i="120"/>
  <c r="B39" i="120"/>
  <c r="B38" i="120"/>
  <c r="B37" i="120"/>
  <c r="B36" i="120"/>
  <c r="B35" i="120"/>
  <c r="B34" i="120"/>
  <c r="B33" i="120"/>
  <c r="B32" i="120"/>
  <c r="B31" i="120"/>
  <c r="B30" i="120"/>
  <c r="B29" i="120"/>
  <c r="B28" i="120"/>
  <c r="B27" i="120"/>
  <c r="B26" i="120"/>
  <c r="B25" i="120"/>
  <c r="B24" i="120"/>
  <c r="B23" i="120"/>
  <c r="B22" i="120"/>
  <c r="B21" i="120"/>
  <c r="B20" i="120"/>
  <c r="B19" i="120"/>
  <c r="B18" i="120"/>
  <c r="B17" i="120"/>
  <c r="B16" i="120"/>
  <c r="B15" i="120"/>
  <c r="B14" i="120"/>
  <c r="B13" i="120"/>
  <c r="B12" i="120"/>
  <c r="B117" i="119"/>
  <c r="B116" i="119"/>
  <c r="B115" i="119"/>
  <c r="B114" i="119"/>
  <c r="B113" i="119"/>
  <c r="B112" i="119"/>
  <c r="B111" i="119"/>
  <c r="B110" i="119"/>
  <c r="B109" i="119"/>
  <c r="B108" i="119"/>
  <c r="B107" i="119"/>
  <c r="B106" i="119"/>
  <c r="B105" i="119"/>
  <c r="B104" i="119"/>
  <c r="B103" i="119"/>
  <c r="B102" i="119"/>
  <c r="B101" i="119"/>
  <c r="B100" i="119"/>
  <c r="B99" i="119"/>
  <c r="B98" i="119"/>
  <c r="B97" i="119"/>
  <c r="B96" i="119"/>
  <c r="B95" i="119"/>
  <c r="B94" i="119"/>
  <c r="B93" i="119"/>
  <c r="B92" i="119"/>
  <c r="B91" i="119"/>
  <c r="B90" i="119"/>
  <c r="B89" i="119"/>
  <c r="B88" i="119"/>
  <c r="B87" i="119"/>
  <c r="B86" i="119"/>
  <c r="B85" i="119"/>
  <c r="B84" i="119"/>
  <c r="B83" i="119"/>
  <c r="B82" i="119"/>
  <c r="B81" i="119"/>
  <c r="B80" i="119"/>
  <c r="B79" i="119"/>
  <c r="B78" i="119"/>
  <c r="B77" i="119"/>
  <c r="B76" i="119"/>
  <c r="B75" i="119"/>
  <c r="B74" i="119"/>
  <c r="B73" i="119"/>
  <c r="B72" i="119"/>
  <c r="B71" i="119"/>
  <c r="B70" i="119"/>
  <c r="B69" i="119"/>
  <c r="B68" i="119"/>
  <c r="B67" i="119"/>
  <c r="B66" i="119"/>
  <c r="B65" i="119"/>
  <c r="B64" i="119"/>
  <c r="B63" i="119"/>
  <c r="B62" i="119"/>
  <c r="B61" i="119"/>
  <c r="B60" i="119"/>
  <c r="B59" i="119"/>
  <c r="B58" i="119"/>
  <c r="B57" i="119"/>
  <c r="B56" i="119"/>
  <c r="B55" i="119"/>
  <c r="B54" i="119"/>
  <c r="B53" i="119"/>
  <c r="B52" i="119"/>
  <c r="B51" i="119"/>
  <c r="B50" i="119"/>
  <c r="B49" i="119"/>
  <c r="B48" i="119"/>
  <c r="B47" i="119"/>
  <c r="B46" i="119"/>
  <c r="B45" i="119"/>
  <c r="B44" i="119"/>
  <c r="B43" i="119"/>
  <c r="B42" i="119"/>
  <c r="B41" i="119"/>
  <c r="B40" i="119"/>
  <c r="B39" i="119"/>
  <c r="B38" i="119"/>
  <c r="B35" i="119"/>
  <c r="B34" i="119"/>
  <c r="B33" i="119"/>
  <c r="B32" i="119"/>
  <c r="B31" i="119"/>
  <c r="B30" i="119"/>
  <c r="B29" i="119"/>
  <c r="B27" i="119"/>
  <c r="B26" i="119"/>
  <c r="B25" i="119"/>
  <c r="B24" i="119"/>
  <c r="B23" i="119"/>
  <c r="B22" i="119"/>
  <c r="B21" i="119"/>
  <c r="B20" i="119"/>
  <c r="B19" i="119"/>
  <c r="B18" i="119"/>
  <c r="B17" i="119"/>
  <c r="B16" i="119"/>
  <c r="B15" i="119"/>
  <c r="B14" i="119"/>
  <c r="B13" i="119"/>
  <c r="B12" i="119"/>
  <c r="B114" i="118"/>
  <c r="B113" i="118"/>
  <c r="B112" i="118"/>
  <c r="B111" i="118"/>
  <c r="B110" i="118"/>
  <c r="B109" i="118"/>
  <c r="B108" i="118"/>
  <c r="B107" i="118"/>
  <c r="B106" i="118"/>
  <c r="B105" i="118"/>
  <c r="B104" i="118"/>
  <c r="B103" i="118"/>
  <c r="B102" i="118"/>
  <c r="B101" i="118"/>
  <c r="B100" i="118"/>
  <c r="B99" i="118"/>
  <c r="B98" i="118"/>
  <c r="B97" i="118"/>
  <c r="B96" i="118"/>
  <c r="B95" i="118"/>
  <c r="B94" i="118"/>
  <c r="B93" i="118"/>
  <c r="B92" i="118"/>
  <c r="B91" i="118"/>
  <c r="B90" i="118"/>
  <c r="B89" i="118"/>
  <c r="B88" i="118"/>
  <c r="B87" i="118"/>
  <c r="B86" i="118"/>
  <c r="B85" i="118"/>
  <c r="B84" i="118"/>
  <c r="B83" i="118"/>
  <c r="B82" i="118"/>
  <c r="B81" i="118"/>
  <c r="B80" i="118"/>
  <c r="B79" i="118"/>
  <c r="B78" i="118"/>
  <c r="B77" i="118"/>
  <c r="B76" i="118"/>
  <c r="B75" i="118"/>
  <c r="B74" i="118"/>
  <c r="B73" i="118"/>
  <c r="B72" i="118"/>
  <c r="B71" i="118"/>
  <c r="B70" i="118"/>
  <c r="B69" i="118"/>
  <c r="B68" i="118"/>
  <c r="B67" i="118"/>
  <c r="B66" i="118"/>
  <c r="B65" i="118"/>
  <c r="B64" i="118"/>
  <c r="B63" i="118"/>
  <c r="B62" i="118"/>
  <c r="B61" i="118"/>
  <c r="B60" i="118"/>
  <c r="B59" i="118"/>
  <c r="B58" i="118"/>
  <c r="B57" i="118"/>
  <c r="B56" i="118"/>
  <c r="B55" i="118"/>
  <c r="B54" i="118"/>
  <c r="B53" i="118"/>
  <c r="B52" i="118"/>
  <c r="B51" i="118"/>
  <c r="B50" i="118"/>
  <c r="B49" i="118"/>
  <c r="B48" i="118"/>
  <c r="B47" i="118"/>
  <c r="B46" i="118"/>
  <c r="B45" i="118"/>
  <c r="B44" i="118"/>
  <c r="B43" i="118"/>
  <c r="B42" i="118"/>
  <c r="B41" i="118"/>
  <c r="B40" i="118"/>
  <c r="B39" i="118"/>
  <c r="B38" i="118"/>
  <c r="B37" i="118"/>
  <c r="B36" i="118"/>
  <c r="B35" i="118"/>
  <c r="B34" i="118"/>
  <c r="B33" i="118"/>
  <c r="B32" i="118"/>
  <c r="B31" i="118"/>
  <c r="B30" i="118"/>
  <c r="B29" i="118"/>
  <c r="B28" i="118"/>
  <c r="B27" i="118"/>
  <c r="B26" i="118"/>
  <c r="B25" i="118"/>
  <c r="B24" i="118"/>
  <c r="B23" i="118"/>
  <c r="B22" i="118"/>
  <c r="B21" i="118"/>
  <c r="B20" i="118"/>
  <c r="B19" i="118"/>
  <c r="B18" i="118"/>
  <c r="B17" i="118"/>
  <c r="B16" i="118"/>
  <c r="B15" i="118"/>
  <c r="B14" i="118"/>
  <c r="B13" i="118"/>
  <c r="B12" i="118"/>
  <c r="F14" i="65"/>
  <c r="E14" i="65"/>
  <c r="F13" i="65"/>
  <c r="E13" i="65"/>
  <c r="F12" i="65"/>
  <c r="E12" i="65"/>
  <c r="F11" i="65"/>
  <c r="E11" i="65"/>
  <c r="F10" i="65"/>
  <c r="E10" i="65"/>
  <c r="F9" i="65"/>
  <c r="E9" i="65"/>
  <c r="F8" i="65"/>
  <c r="E8" i="65"/>
  <c r="F7" i="65"/>
  <c r="E7" i="65"/>
  <c r="F6" i="65"/>
  <c r="E6" i="65"/>
  <c r="F5" i="65"/>
  <c r="E5" i="65"/>
  <c r="F4" i="65"/>
  <c r="E4" i="65"/>
  <c r="F3" i="65"/>
  <c r="E3" i="65"/>
  <c r="J1" i="65" l="1"/>
</calcChain>
</file>

<file path=xl/sharedStrings.xml><?xml version="1.0" encoding="utf-8"?>
<sst xmlns="http://schemas.openxmlformats.org/spreadsheetml/2006/main" count="2269" uniqueCount="525">
  <si>
    <t>ﾃｰﾌﾞﾙ</t>
    <phoneticPr fontId="3"/>
  </si>
  <si>
    <t>ﾌﾟﾗｲﾏﾘｷｰ</t>
    <phoneticPr fontId="3"/>
  </si>
  <si>
    <t>ｲﾝﾃﾞｯｸｽ1</t>
    <phoneticPr fontId="3"/>
  </si>
  <si>
    <t>ｲﾝﾃﾞｯｸｽ2</t>
    <phoneticPr fontId="3"/>
  </si>
  <si>
    <t>ｲﾝﾃﾞｯｸｽ3</t>
    <phoneticPr fontId="3"/>
  </si>
  <si>
    <t>ｲﾝﾃﾞｯｸｽ4</t>
    <phoneticPr fontId="3"/>
  </si>
  <si>
    <t>ｲﾝﾃﾞｯｸｽ5</t>
    <phoneticPr fontId="3"/>
  </si>
  <si>
    <t>No</t>
  </si>
  <si>
    <t>列名</t>
  </si>
  <si>
    <t>更新サイクル</t>
    <rPh sb="0" eb="2">
      <t>コウシン</t>
    </rPh>
    <phoneticPr fontId="3"/>
  </si>
  <si>
    <t>最大レコード件数</t>
    <rPh sb="0" eb="2">
      <t>サイダイ</t>
    </rPh>
    <rPh sb="6" eb="8">
      <t>ケンスウ</t>
    </rPh>
    <phoneticPr fontId="3"/>
  </si>
  <si>
    <t>テーブル説明</t>
    <rPh sb="4" eb="6">
      <t>セツメイ</t>
    </rPh>
    <phoneticPr fontId="3"/>
  </si>
  <si>
    <t>説明</t>
    <rPh sb="0" eb="2">
      <t>セツメイ</t>
    </rPh>
    <phoneticPr fontId="3"/>
  </si>
  <si>
    <t>：入力不可</t>
    <rPh sb="1" eb="3">
      <t>ニュウリョク</t>
    </rPh>
    <rPh sb="3" eb="5">
      <t>フカ</t>
    </rPh>
    <phoneticPr fontId="3"/>
  </si>
  <si>
    <r>
      <t>：N</t>
    </r>
    <r>
      <rPr>
        <sz val="10"/>
        <rFont val="ＭＳ 明朝"/>
        <family val="1"/>
        <charset val="128"/>
      </rPr>
      <t>ULL不許可の場合、○を入力</t>
    </r>
    <rPh sb="5" eb="8">
      <t>フキョカ</t>
    </rPh>
    <rPh sb="9" eb="11">
      <t>バアイ</t>
    </rPh>
    <rPh sb="14" eb="16">
      <t>ニュウリョク</t>
    </rPh>
    <phoneticPr fontId="3"/>
  </si>
  <si>
    <t>蓄積期間(ヶ月)</t>
    <rPh sb="0" eb="2">
      <t>チクセキ</t>
    </rPh>
    <rPh sb="2" eb="4">
      <t>キカン</t>
    </rPh>
    <rPh sb="6" eb="7">
      <t>ゲツ</t>
    </rPh>
    <phoneticPr fontId="3"/>
  </si>
  <si>
    <r>
      <t>ＤＤＬ</t>
    </r>
    <r>
      <rPr>
        <sz val="10"/>
        <rFont val="ＭＳ 明朝"/>
        <family val="1"/>
        <charset val="128"/>
      </rPr>
      <t>構築ディレクトリ</t>
    </r>
    <rPh sb="3" eb="5">
      <t>コウチク</t>
    </rPh>
    <phoneticPr fontId="3"/>
  </si>
  <si>
    <t>ｲﾝﾃﾞｯｸｽ6</t>
  </si>
  <si>
    <t>ｲﾝﾃﾞｯｸｽ7</t>
  </si>
  <si>
    <t>ｲﾝﾃﾞｯｸｽ8</t>
  </si>
  <si>
    <t>ｲﾝﾃﾞｯｸｽ9</t>
  </si>
  <si>
    <t>ｲﾝﾃﾞｯｸｽ10</t>
  </si>
  <si>
    <t>ｲﾝﾃﾞｯｸｽ11</t>
  </si>
  <si>
    <t>ｲﾝﾃﾞｯｸｽ12</t>
  </si>
  <si>
    <t>ｲﾝﾃﾞｯｸｽ13</t>
  </si>
  <si>
    <t>ｲﾝﾃﾞｯｸｽ14</t>
  </si>
  <si>
    <t>ｲﾝﾃﾞｯｸｽ15</t>
  </si>
  <si>
    <t>○</t>
  </si>
  <si>
    <t>CHAR</t>
  </si>
  <si>
    <t>TIMESTAMP</t>
  </si>
  <si>
    <t>データ型</t>
    <rPh sb="3" eb="4">
      <t>ガタ</t>
    </rPh>
    <phoneticPr fontId="3"/>
  </si>
  <si>
    <t>：TIMESTAMP（8バイト日付型；1マイクロ秒、14桁）</t>
    <rPh sb="15" eb="18">
      <t>ヒヅケガタ</t>
    </rPh>
    <rPh sb="24" eb="25">
      <t>ビョウ</t>
    </rPh>
    <rPh sb="28" eb="29">
      <t>ケタ</t>
    </rPh>
    <phoneticPr fontId="3"/>
  </si>
  <si>
    <t>：DATE（4バイト日付型：時刻無し）</t>
    <rPh sb="10" eb="12">
      <t>ヒヅケ</t>
    </rPh>
    <rPh sb="12" eb="13">
      <t>ガタ</t>
    </rPh>
    <rPh sb="14" eb="16">
      <t>ジコク</t>
    </rPh>
    <rPh sb="16" eb="17">
      <t>ナ</t>
    </rPh>
    <phoneticPr fontId="3"/>
  </si>
  <si>
    <t>VARCHAR</t>
  </si>
  <si>
    <t>：VARCHAR（最大＝1GB=10485760まで：可変長文字列型）</t>
    <rPh sb="9" eb="11">
      <t>サイダイ</t>
    </rPh>
    <rPh sb="27" eb="30">
      <t>カヘンチョウ</t>
    </rPh>
    <rPh sb="30" eb="33">
      <t>モジレツ</t>
    </rPh>
    <rPh sb="33" eb="34">
      <t>ガタ</t>
    </rPh>
    <phoneticPr fontId="3"/>
  </si>
  <si>
    <t>スキーマ</t>
  </si>
  <si>
    <t>：INTEGER（4バイト符号付整数）</t>
    <rPh sb="13" eb="16">
      <t>フゴウツキ</t>
    </rPh>
    <rPh sb="16" eb="18">
      <t>セイスウ</t>
    </rPh>
    <phoneticPr fontId="3"/>
  </si>
  <si>
    <t>：bytea（バイナリデータ「バイトの配列」）</t>
    <rPh sb="19" eb="21">
      <t>ハイレツ</t>
    </rPh>
    <phoneticPr fontId="3"/>
  </si>
  <si>
    <t>：NUMERIC（整数部131,072桁、小数部16,383桁まで、精度選択可能（1000桁まで）な高精度数値）</t>
    <rPh sb="9" eb="11">
      <t>セイスウ</t>
    </rPh>
    <rPh sb="11" eb="12">
      <t>ブ</t>
    </rPh>
    <rPh sb="19" eb="20">
      <t>ケタ</t>
    </rPh>
    <rPh sb="21" eb="24">
      <t>ショウスウブ</t>
    </rPh>
    <rPh sb="30" eb="31">
      <t>ケタ</t>
    </rPh>
    <rPh sb="34" eb="36">
      <t>セイド</t>
    </rPh>
    <rPh sb="36" eb="38">
      <t>センタク</t>
    </rPh>
    <rPh sb="38" eb="40">
      <t>カノウ</t>
    </rPh>
    <rPh sb="45" eb="46">
      <t>ケタ</t>
    </rPh>
    <rPh sb="50" eb="53">
      <t>コウセイド</t>
    </rPh>
    <rPh sb="53" eb="55">
      <t>スウチ</t>
    </rPh>
    <phoneticPr fontId="3"/>
  </si>
  <si>
    <t>：CHAR（最大＝1GB=10485760まで：固定長文字列型）</t>
    <rPh sb="24" eb="27">
      <t>コテイチョウ</t>
    </rPh>
    <rPh sb="27" eb="30">
      <t>モジレツ</t>
    </rPh>
    <rPh sb="30" eb="31">
      <t>ガタ</t>
    </rPh>
    <phoneticPr fontId="3"/>
  </si>
  <si>
    <t>対象外シート名</t>
    <rPh sb="0" eb="3">
      <t>タイショウガイ</t>
    </rPh>
    <rPh sb="6" eb="7">
      <t>メイ</t>
    </rPh>
    <phoneticPr fontId="45"/>
  </si>
  <si>
    <t>シート名</t>
    <rPh sb="3" eb="4">
      <t>メイ</t>
    </rPh>
    <phoneticPr fontId="45"/>
  </si>
  <si>
    <t>エラー内容</t>
    <rPh sb="3" eb="5">
      <t>ナイヨウ</t>
    </rPh>
    <phoneticPr fontId="45"/>
  </si>
  <si>
    <t>エラー箇所</t>
    <rPh sb="3" eb="5">
      <t>カショ</t>
    </rPh>
    <phoneticPr fontId="45"/>
  </si>
  <si>
    <t>check</t>
    <phoneticPr fontId="45"/>
  </si>
  <si>
    <t>平均長</t>
    <rPh sb="0" eb="2">
      <t>ヘイキン</t>
    </rPh>
    <rPh sb="2" eb="3">
      <t>ナガ</t>
    </rPh>
    <phoneticPr fontId="3"/>
  </si>
  <si>
    <t>継承元</t>
    <rPh sb="0" eb="2">
      <t>ケイショウ</t>
    </rPh>
    <rPh sb="2" eb="3">
      <t>モト</t>
    </rPh>
    <phoneticPr fontId="3"/>
  </si>
  <si>
    <t>：TEXT（最大＝1GB=10485760まで：可変長文字列型）</t>
    <rPh sb="6" eb="8">
      <t>サイダイ</t>
    </rPh>
    <rPh sb="24" eb="27">
      <t>カヘンチョウ</t>
    </rPh>
    <rPh sb="27" eb="30">
      <t>モジレツ</t>
    </rPh>
    <rPh sb="30" eb="31">
      <t>ガタ</t>
    </rPh>
    <phoneticPr fontId="3"/>
  </si>
  <si>
    <t>継承
有無</t>
    <rPh sb="0" eb="2">
      <t>ケイショウ</t>
    </rPh>
    <rPh sb="3" eb="5">
      <t>ウム</t>
    </rPh>
    <phoneticPr fontId="3"/>
  </si>
  <si>
    <t>データ定義_サンプル</t>
  </si>
  <si>
    <t>継承有無</t>
    <rPh sb="0" eb="2">
      <t>ケイショウ</t>
    </rPh>
    <rPh sb="2" eb="4">
      <t>ウム</t>
    </rPh>
    <phoneticPr fontId="3"/>
  </si>
  <si>
    <r>
      <t>：継承元のカラムの場合</t>
    </r>
    <r>
      <rPr>
        <sz val="10"/>
        <rFont val="ＭＳ 明朝"/>
        <family val="1"/>
        <charset val="128"/>
      </rPr>
      <t>○を入力（自動メンテ項目）</t>
    </r>
    <rPh sb="1" eb="3">
      <t>ケイショウ</t>
    </rPh>
    <rPh sb="3" eb="4">
      <t>モト</t>
    </rPh>
    <rPh sb="9" eb="10">
      <t>バ</t>
    </rPh>
    <rPh sb="10" eb="11">
      <t>ゴウ</t>
    </rPh>
    <rPh sb="13" eb="15">
      <t>ニュウリョク</t>
    </rPh>
    <rPh sb="16" eb="18">
      <t>ジドウ</t>
    </rPh>
    <rPh sb="21" eb="23">
      <t>コウモク</t>
    </rPh>
    <phoneticPr fontId="3"/>
  </si>
  <si>
    <t>平均長</t>
    <rPh sb="0" eb="2">
      <t>ヘイキン</t>
    </rPh>
    <rPh sb="2" eb="3">
      <t>チョウ</t>
    </rPh>
    <phoneticPr fontId="3"/>
  </si>
  <si>
    <r>
      <t>：行の削除は</t>
    </r>
    <r>
      <rPr>
        <b/>
        <sz val="10"/>
        <rFont val="ＭＳ 明朝"/>
        <family val="1"/>
        <charset val="128"/>
      </rPr>
      <t>番号を消すことで処理対象外</t>
    </r>
    <r>
      <rPr>
        <sz val="10"/>
        <rFont val="ＭＳ 明朝"/>
        <family val="1"/>
        <charset val="128"/>
      </rPr>
      <t>とする</t>
    </r>
    <rPh sb="1" eb="2">
      <t>ギョウ</t>
    </rPh>
    <rPh sb="3" eb="5">
      <t>サクジョ</t>
    </rPh>
    <rPh sb="6" eb="8">
      <t>バンゴウ</t>
    </rPh>
    <rPh sb="9" eb="10">
      <t>ケ</t>
    </rPh>
    <rPh sb="14" eb="16">
      <t>ショリ</t>
    </rPh>
    <rPh sb="16" eb="19">
      <t>タイショウガイ</t>
    </rPh>
    <phoneticPr fontId="3"/>
  </si>
  <si>
    <t>：可変長文字列型の場合、平均長をbyteで入力</t>
    <rPh sb="1" eb="8">
      <t>カヘンチョウモジレツガタ</t>
    </rPh>
    <rPh sb="9" eb="11">
      <t>バアイ</t>
    </rPh>
    <rPh sb="12" eb="14">
      <t>ヘイキン</t>
    </rPh>
    <rPh sb="14" eb="15">
      <t>チョウ</t>
    </rPh>
    <rPh sb="21" eb="23">
      <t>ニュウリョク</t>
    </rPh>
    <phoneticPr fontId="3"/>
  </si>
  <si>
    <t>標準DDL構築ディレクトリ</t>
    <rPh sb="0" eb="2">
      <t>ヒョウジュン</t>
    </rPh>
    <rPh sb="5" eb="7">
      <t>コウチク</t>
    </rPh>
    <phoneticPr fontId="45"/>
  </si>
  <si>
    <t>テーブル名</t>
    <rPh sb="4" eb="5">
      <t>メイ</t>
    </rPh>
    <phoneticPr fontId="2"/>
  </si>
  <si>
    <t>toast(table)</t>
    <phoneticPr fontId="2"/>
  </si>
  <si>
    <t>toast(index)</t>
    <phoneticPr fontId="2"/>
  </si>
  <si>
    <t>最大ﾚｺｰﾄﾞ件数</t>
    <phoneticPr fontId="2"/>
  </si>
  <si>
    <t>物理ﾚｺｰﾄﾞ長(Byte)</t>
    <phoneticPr fontId="2"/>
  </si>
  <si>
    <t>Size</t>
    <phoneticPr fontId="2"/>
  </si>
  <si>
    <t>サイズ見積り</t>
    <phoneticPr fontId="45"/>
  </si>
  <si>
    <t>テーブルサイズ合計</t>
    <rPh sb="7" eb="9">
      <t>ゴウケイ</t>
    </rPh>
    <phoneticPr fontId="2"/>
  </si>
  <si>
    <t>インデックスサイズ合計</t>
    <rPh sb="9" eb="11">
      <t>ゴウケイ</t>
    </rPh>
    <phoneticPr fontId="2"/>
  </si>
  <si>
    <t>[&gt;=1000000]#,###,,"M";[&gt;=1000]#,###,"K";#,##0</t>
    <phoneticPr fontId="2"/>
  </si>
  <si>
    <t>□日次　□月次　□年次　□その他（随時）</t>
    <phoneticPr fontId="3"/>
  </si>
  <si>
    <t>外部キー</t>
    <rPh sb="0" eb="2">
      <t>ガイブ</t>
    </rPh>
    <phoneticPr fontId="3"/>
  </si>
  <si>
    <t>delete_flg</t>
  </si>
  <si>
    <t>create_date</t>
  </si>
  <si>
    <t>create_user</t>
  </si>
  <si>
    <t>update_date</t>
  </si>
  <si>
    <t>update_user</t>
  </si>
  <si>
    <t>version_no</t>
  </si>
  <si>
    <t>integer</t>
  </si>
  <si>
    <r>
      <t>：B*TREE（</t>
    </r>
    <r>
      <rPr>
        <sz val="10"/>
        <rFont val="ＭＳ 明朝"/>
        <family val="1"/>
        <charset val="128"/>
      </rPr>
      <t>IN）</t>
    </r>
    <phoneticPr fontId="3"/>
  </si>
  <si>
    <r>
      <t>：</t>
    </r>
    <r>
      <rPr>
        <sz val="10"/>
        <rFont val="ＭＳ 明朝"/>
        <family val="1"/>
        <charset val="128"/>
      </rPr>
      <t>unique B*TREE（uIN）</t>
    </r>
    <phoneticPr fontId="3"/>
  </si>
  <si>
    <t>地域</t>
  </si>
  <si>
    <t>バージョン番号</t>
  </si>
  <si>
    <t>ログ記録なし</t>
    <rPh sb="2" eb="4">
      <t>キロク</t>
    </rPh>
    <phoneticPr fontId="3"/>
  </si>
  <si>
    <t>id</t>
    <phoneticPr fontId="50"/>
  </si>
  <si>
    <t>ID</t>
    <phoneticPr fontId="50"/>
  </si>
  <si>
    <t>area</t>
  </si>
  <si>
    <t>地域名</t>
    <rPh sb="0" eb="2">
      <t>チイキ</t>
    </rPh>
    <rPh sb="2" eb="3">
      <t>メイ</t>
    </rPh>
    <phoneticPr fontId="50"/>
  </si>
  <si>
    <t>prefecture</t>
  </si>
  <si>
    <t>都道府県</t>
  </si>
  <si>
    <t>都道府県名</t>
    <rPh sb="4" eb="5">
      <t>メイ</t>
    </rPh>
    <phoneticPr fontId="50"/>
  </si>
  <si>
    <t>削除フラグ</t>
  </si>
  <si>
    <t>作成日時</t>
  </si>
  <si>
    <t>作成ユーザ</t>
  </si>
  <si>
    <t>更新日時</t>
  </si>
  <si>
    <t>更新ユーザ</t>
  </si>
  <si>
    <t>地域内の都道府県を検索するためのテーブル</t>
    <rPh sb="0" eb="2">
      <t>チイキ</t>
    </rPh>
    <rPh sb="2" eb="3">
      <t>ナイ</t>
    </rPh>
    <rPh sb="4" eb="8">
      <t>トドウフケン</t>
    </rPh>
    <rPh sb="9" eb="11">
      <t>ケンサク</t>
    </rPh>
    <phoneticPr fontId="45"/>
  </si>
  <si>
    <t>地域マスター</t>
    <rPh sb="0" eb="2">
      <t>チイキ</t>
    </rPh>
    <phoneticPr fontId="45"/>
  </si>
  <si>
    <t>部材マスター</t>
    <phoneticPr fontId="45"/>
  </si>
  <si>
    <t>tb_mst_catalog</t>
    <phoneticPr fontId="45"/>
  </si>
  <si>
    <t>部材マスター情報を格納するテーブル</t>
    <rPh sb="0" eb="2">
      <t>ブザイ</t>
    </rPh>
    <rPh sb="6" eb="8">
      <t>ジョウホウ</t>
    </rPh>
    <rPh sb="9" eb="11">
      <t>カクノウ</t>
    </rPh>
    <phoneticPr fontId="45"/>
  </si>
  <si>
    <t>model_category</t>
  </si>
  <si>
    <t>カテゴリ</t>
  </si>
  <si>
    <t>model_name</t>
  </si>
  <si>
    <t>型式名</t>
  </si>
  <si>
    <t>model_role</t>
  </si>
  <si>
    <t>役割</t>
  </si>
  <si>
    <t>TEXT</t>
  </si>
  <si>
    <t>in_limit_power</t>
  </si>
  <si>
    <t>耐電力(dBm)</t>
  </si>
  <si>
    <t>NUMERIC</t>
  </si>
  <si>
    <t>cable_loss</t>
  </si>
  <si>
    <t>ケーブル損失(dB/m)</t>
  </si>
  <si>
    <t>ysk_shape</t>
  </si>
  <si>
    <t>予測図の図形名</t>
  </si>
  <si>
    <t>cpl_loss_csv</t>
  </si>
  <si>
    <t>manufacturer</t>
  </si>
  <si>
    <t>メーカー</t>
  </si>
  <si>
    <t>label_format</t>
  </si>
  <si>
    <t>表記形式</t>
  </si>
  <si>
    <t>dev_num_rule</t>
  </si>
  <si>
    <t>機器採番ルール</t>
  </si>
  <si>
    <t>legend_shows</t>
  </si>
  <si>
    <t>凡例表示</t>
  </si>
  <si>
    <t>boolean</t>
  </si>
  <si>
    <t>legend_text</t>
  </si>
  <si>
    <t>凡例テキスト</t>
  </si>
  <si>
    <t>shape_name</t>
  </si>
  <si>
    <t>図形名</t>
  </si>
  <si>
    <t>geometry_text</t>
  </si>
  <si>
    <t>専用図形文字列</t>
  </si>
  <si>
    <t>text_stroke</t>
  </si>
  <si>
    <t>文字色</t>
  </si>
  <si>
    <t>fill</t>
  </si>
  <si>
    <t>塗りつぶし色</t>
  </si>
  <si>
    <t>stroke</t>
  </si>
  <si>
    <t>線色</t>
  </si>
  <si>
    <t>stroke_dash_array</t>
  </si>
  <si>
    <t>線種</t>
  </si>
  <si>
    <t>stroke_width</t>
  </si>
  <si>
    <t>線幅</t>
  </si>
  <si>
    <t>input_port_count</t>
  </si>
  <si>
    <t>入力ポート数</t>
  </si>
  <si>
    <t>input_port_csv</t>
  </si>
  <si>
    <t>入力ポートIDのCSV</t>
  </si>
  <si>
    <t>input_port_shows</t>
  </si>
  <si>
    <t>入力ポート表示フラグ</t>
  </si>
  <si>
    <t>input_port_size</t>
  </si>
  <si>
    <t>入力ポートサイズ</t>
  </si>
  <si>
    <t>output_ports_count</t>
  </si>
  <si>
    <t>出力ポート数</t>
  </si>
  <si>
    <t>output_ports_csv</t>
  </si>
  <si>
    <t>出力ポートIDのCSV</t>
  </si>
  <si>
    <t>output_port_shows</t>
  </si>
  <si>
    <t>出力ポート表示フラグ</t>
  </si>
  <si>
    <t>output_port_size</t>
  </si>
  <si>
    <t>出力ポートサイズ</t>
  </si>
  <si>
    <t>iscommon_id</t>
  </si>
  <si>
    <t>共通マスターID</t>
  </si>
  <si>
    <t>partition_settings</t>
  </si>
  <si>
    <t>パーティション設定</t>
  </si>
  <si>
    <t>atrium_setting</t>
  </si>
  <si>
    <t>吹き抜け設定</t>
  </si>
  <si>
    <t>default_legends</t>
  </si>
  <si>
    <t>基本レジェンド一覧</t>
  </si>
  <si>
    <t>all_frequency_services</t>
  </si>
  <si>
    <t>全周波数サービス一覧</t>
  </si>
  <si>
    <t>antenna_pattern</t>
  </si>
  <si>
    <t>アンテナパターン一覧</t>
  </si>
  <si>
    <t>measurements_data_format</t>
  </si>
  <si>
    <t>測定データフォーマット定義</t>
    <rPh sb="0" eb="2">
      <t>ソクテイ</t>
    </rPh>
    <phoneticPr fontId="45"/>
  </si>
  <si>
    <t>tb_mst_iscommon</t>
    <phoneticPr fontId="45"/>
  </si>
  <si>
    <t>共通マスター</t>
    <phoneticPr fontId="45"/>
  </si>
  <si>
    <t>画面項目変換マスター</t>
    <rPh sb="0" eb="2">
      <t>ガメン</t>
    </rPh>
    <rPh sb="2" eb="4">
      <t>コウモク</t>
    </rPh>
    <rPh sb="4" eb="6">
      <t>ヘンカン</t>
    </rPh>
    <phoneticPr fontId="45"/>
  </si>
  <si>
    <t>tb_mst_translation_enjp</t>
    <phoneticPr fontId="45"/>
  </si>
  <si>
    <t>id</t>
  </si>
  <si>
    <t>ID</t>
  </si>
  <si>
    <t>source</t>
  </si>
  <si>
    <t>参照元</t>
    <rPh sb="0" eb="2">
      <t>サンショウ</t>
    </rPh>
    <rPh sb="2" eb="3">
      <t>モト</t>
    </rPh>
    <phoneticPr fontId="45"/>
  </si>
  <si>
    <t>en</t>
  </si>
  <si>
    <t>英語項目名</t>
    <rPh sb="2" eb="4">
      <t>コウモク</t>
    </rPh>
    <rPh sb="4" eb="5">
      <t>メイ</t>
    </rPh>
    <phoneticPr fontId="45"/>
  </si>
  <si>
    <t>jp</t>
  </si>
  <si>
    <t>日本語項目名</t>
  </si>
  <si>
    <t>屋内設計ドキュメント</t>
    <rPh sb="0" eb="2">
      <t>オクナイ</t>
    </rPh>
    <rPh sb="2" eb="4">
      <t>セッケイ</t>
    </rPh>
    <phoneticPr fontId="45"/>
  </si>
  <si>
    <t>tb_trn_isdoc</t>
  </si>
  <si>
    <t>□日次　□月次　□年次　■その他（随時）</t>
    <phoneticPr fontId="3"/>
  </si>
  <si>
    <t>屋内設計情報を格納するテーブル</t>
    <rPh sb="0" eb="2">
      <t>オクナイ</t>
    </rPh>
    <rPh sb="2" eb="4">
      <t>セッケイ</t>
    </rPh>
    <rPh sb="4" eb="6">
      <t>ジョウホウ</t>
    </rPh>
    <rPh sb="7" eb="9">
      <t>カクノウ</t>
    </rPh>
    <phoneticPr fontId="45"/>
  </si>
  <si>
    <t>spec_id</t>
  </si>
  <si>
    <t>諸元番号</t>
  </si>
  <si>
    <t>rf_design_status</t>
  </si>
  <si>
    <t>RF設計ステータス</t>
  </si>
  <si>
    <t>rf_design_log</t>
  </si>
  <si>
    <t>RF設計履歴</t>
  </si>
  <si>
    <t>frequency_services</t>
  </si>
  <si>
    <t>周波数サービス一覧</t>
  </si>
  <si>
    <t>first_antenna_location</t>
  </si>
  <si>
    <t>代表空中線緯度経度</t>
  </si>
  <si>
    <t>design_specification</t>
  </si>
  <si>
    <t>design_site</t>
  </si>
  <si>
    <t>design_base_station</t>
  </si>
  <si>
    <t>design_order</t>
  </si>
  <si>
    <t>design_radio_group</t>
  </si>
  <si>
    <t>design_radio_group_device</t>
  </si>
  <si>
    <t>design_radio_head</t>
  </si>
  <si>
    <t>design_antenna_device</t>
  </si>
  <si>
    <t>アンテナ一覧</t>
  </si>
  <si>
    <t>design_misc_device</t>
  </si>
  <si>
    <t>design_network</t>
  </si>
  <si>
    <t>design_service_band_lte</t>
  </si>
  <si>
    <t>design_service_band_wcdma</t>
  </si>
  <si>
    <t>design_service_band_5g</t>
  </si>
  <si>
    <t>design_sector</t>
  </si>
  <si>
    <t>design_sector_antenna</t>
  </si>
  <si>
    <t>design_port</t>
  </si>
  <si>
    <t>keitouzu_antenna_device</t>
  </si>
  <si>
    <t>系統図アンテナ一覧</t>
  </si>
  <si>
    <t>keitouzu_sector_antenna</t>
  </si>
  <si>
    <t>系統図セクタアンテナ情報一覧</t>
  </si>
  <si>
    <t>keitouzu_design_port</t>
  </si>
  <si>
    <t>系統図セクタポート情報一覧</t>
  </si>
  <si>
    <t>floor_images</t>
  </si>
  <si>
    <t>平面図名一覧</t>
  </si>
  <si>
    <t>floors</t>
  </si>
  <si>
    <t>フロア情報一覧</t>
  </si>
  <si>
    <t>パーティション設定一覧</t>
  </si>
  <si>
    <t>partitions</t>
  </si>
  <si>
    <t>パーティション一覧</t>
  </si>
  <si>
    <t>atriums</t>
  </si>
  <si>
    <t>吹き抜け一覧</t>
  </si>
  <si>
    <t>antennas</t>
  </si>
  <si>
    <t>design_catalog</t>
  </si>
  <si>
    <t>設計対象部材一覧</t>
  </si>
  <si>
    <t>current_floor_id</t>
  </si>
  <si>
    <t>現在フロアID</t>
  </si>
  <si>
    <t>simulation_command</t>
  </si>
  <si>
    <t>シミュレーションコマンド</t>
  </si>
  <si>
    <t>simulation_status</t>
  </si>
  <si>
    <t>simulation_progress</t>
  </si>
  <si>
    <t>simulation_id</t>
  </si>
  <si>
    <t>simulation_result</t>
  </si>
  <si>
    <t>シミュレーション結果</t>
  </si>
  <si>
    <t>yosokuzu_diagram</t>
  </si>
  <si>
    <t>yosokuzu_visible_options</t>
  </si>
  <si>
    <t>予測図表示オプション</t>
  </si>
  <si>
    <t>keitouzu_diagram</t>
  </si>
  <si>
    <t>系統図面</t>
  </si>
  <si>
    <t>keitouzu_visible_options</t>
  </si>
  <si>
    <t>系統図表示オプション</t>
  </si>
  <si>
    <t>measurements</t>
  </si>
  <si>
    <t>測定データ</t>
  </si>
  <si>
    <t>standing_measurements</t>
  </si>
  <si>
    <t>定点ポイント</t>
  </si>
  <si>
    <t>anchor_relation</t>
  </si>
  <si>
    <t>アンカーリレーション</t>
  </si>
  <si>
    <t>dialog_settings</t>
  </si>
  <si>
    <t>ダイアログ設定</t>
  </si>
  <si>
    <t>tasklist</t>
  </si>
  <si>
    <t>タスクリスト</t>
  </si>
  <si>
    <t>tb_trn_isdoc_catalog</t>
  </si>
  <si>
    <t>設計する対象部材の一覧テーブル</t>
    <rPh sb="0" eb="2">
      <t>セッケイ</t>
    </rPh>
    <rPh sb="4" eb="6">
      <t>タイショウ</t>
    </rPh>
    <rPh sb="6" eb="8">
      <t>ブザイ</t>
    </rPh>
    <rPh sb="9" eb="11">
      <t>イチラン</t>
    </rPh>
    <phoneticPr fontId="45"/>
  </si>
  <si>
    <t>ユーザー部材一覧</t>
    <rPh sb="4" eb="6">
      <t>ブザイ</t>
    </rPh>
    <rPh sb="6" eb="8">
      <t>イチラン</t>
    </rPh>
    <phoneticPr fontId="45"/>
  </si>
  <si>
    <t>tb_trn_user_catalog</t>
  </si>
  <si>
    <t>tb_trn_user_catalog</t>
    <phoneticPr fontId="45"/>
  </si>
  <si>
    <t>ユーザー部材一覧</t>
    <phoneticPr fontId="45"/>
  </si>
  <si>
    <t>user_id</t>
  </si>
  <si>
    <t>ユーザーID</t>
  </si>
  <si>
    <t>catalog_name</t>
  </si>
  <si>
    <t>カタログ名</t>
    <rPh sb="4" eb="5">
      <t>メイ</t>
    </rPh>
    <phoneticPr fontId="46"/>
  </si>
  <si>
    <t>ユーザー専用設定情報</t>
    <rPh sb="4" eb="6">
      <t>センヨウ</t>
    </rPh>
    <rPh sb="6" eb="8">
      <t>セッテイ</t>
    </rPh>
    <rPh sb="8" eb="10">
      <t>ジョウホウ</t>
    </rPh>
    <phoneticPr fontId="45"/>
  </si>
  <si>
    <t>tb_trn_user_settings</t>
  </si>
  <si>
    <t>ユーザー別設定情報</t>
    <rPh sb="4" eb="5">
      <t>ベツ</t>
    </rPh>
    <rPh sb="5" eb="7">
      <t>セッテイ</t>
    </rPh>
    <rPh sb="7" eb="9">
      <t>ジョウホウ</t>
    </rPh>
    <phoneticPr fontId="45"/>
  </si>
  <si>
    <t>data_type</t>
  </si>
  <si>
    <t>データ型</t>
  </si>
  <si>
    <t>data_name</t>
  </si>
  <si>
    <t>データ名</t>
  </si>
  <si>
    <t>data_value</t>
  </si>
  <si>
    <t>データ値</t>
    <rPh sb="3" eb="4">
      <t>アタイ</t>
    </rPh>
    <phoneticPr fontId="46"/>
  </si>
  <si>
    <t>tb_mst_area</t>
  </si>
  <si>
    <t>tb_mst_catalog</t>
  </si>
  <si>
    <t>tb_mst_iscommon</t>
  </si>
  <si>
    <t>tb_mst_translation_enjp</t>
  </si>
  <si>
    <t>サイトID</t>
    <phoneticPr fontId="45"/>
  </si>
  <si>
    <t>site_id</t>
    <phoneticPr fontId="45"/>
  </si>
  <si>
    <t>CHAR</t>
    <phoneticPr fontId="45"/>
  </si>
  <si>
    <t>エンティティー名称</t>
    <phoneticPr fontId="3"/>
  </si>
  <si>
    <t>tb_mst_area</t>
    <phoneticPr fontId="45"/>
  </si>
  <si>
    <t>テーブル日本語名称</t>
    <phoneticPr fontId="3"/>
  </si>
  <si>
    <t>テーブル日本語名称</t>
    <phoneticPr fontId="3"/>
  </si>
  <si>
    <t>□日次　□月次　□年次　□その他（随時）</t>
    <phoneticPr fontId="3"/>
  </si>
  <si>
    <t>：boolean</t>
    <phoneticPr fontId="3"/>
  </si>
  <si>
    <t>列名(日本語)</t>
    <phoneticPr fontId="3"/>
  </si>
  <si>
    <t>PK</t>
    <phoneticPr fontId="3"/>
  </si>
  <si>
    <t>PK</t>
    <phoneticPr fontId="3"/>
  </si>
  <si>
    <t>INDEX</t>
    <phoneticPr fontId="3"/>
  </si>
  <si>
    <t>INDEX</t>
    <phoneticPr fontId="3"/>
  </si>
  <si>
    <t>NOT
NULL</t>
    <phoneticPr fontId="3"/>
  </si>
  <si>
    <t>長さ</t>
    <phoneticPr fontId="3"/>
  </si>
  <si>
    <t>長さ</t>
    <phoneticPr fontId="3"/>
  </si>
  <si>
    <t>小数</t>
    <phoneticPr fontId="3"/>
  </si>
  <si>
    <r>
      <t>d</t>
    </r>
    <r>
      <rPr>
        <sz val="10"/>
        <rFont val="ＭＳ 明朝"/>
        <family val="1"/>
        <charset val="128"/>
      </rPr>
      <t>ef</t>
    </r>
    <phoneticPr fontId="3"/>
  </si>
  <si>
    <t>No</t>
    <phoneticPr fontId="3"/>
  </si>
  <si>
    <t>：unique BlockRangeIndex（uBR）</t>
    <phoneticPr fontId="3"/>
  </si>
  <si>
    <r>
      <t>N</t>
    </r>
    <r>
      <rPr>
        <sz val="10"/>
        <rFont val="ＭＳ 明朝"/>
        <family val="1"/>
        <charset val="128"/>
      </rPr>
      <t>OT NULL</t>
    </r>
    <phoneticPr fontId="3"/>
  </si>
  <si>
    <t>equip_id</t>
  </si>
  <si>
    <t>機器仕様ID</t>
  </si>
  <si>
    <t>equip_type_id</t>
  </si>
  <si>
    <t>設備種別ID</t>
  </si>
  <si>
    <t>device_type</t>
  </si>
  <si>
    <t>デバイス種別</t>
  </si>
  <si>
    <t>auth_model</t>
  </si>
  <si>
    <t>認証型式</t>
  </si>
  <si>
    <t>max_power</t>
  </si>
  <si>
    <t>最大送信電力</t>
  </si>
  <si>
    <t>cable_loss_fb</t>
  </si>
  <si>
    <t>周波数帯別ケーブル損失(dB/m)</t>
  </si>
  <si>
    <t>分配器損失CSV</t>
  </si>
  <si>
    <t>cpl_loss_fb</t>
  </si>
  <si>
    <t>周波数帯別分配器損失</t>
  </si>
  <si>
    <t>available_service</t>
    <phoneticPr fontId="45"/>
  </si>
  <si>
    <t>対応サービス</t>
    <rPh sb="0" eb="2">
      <t>タイオウ</t>
    </rPh>
    <phoneticPr fontId="45"/>
  </si>
  <si>
    <t>pattern_antenna_name</t>
  </si>
  <si>
    <t>パターンアンテナ名</t>
    <phoneticPr fontId="45"/>
  </si>
  <si>
    <t>パターンアンテナ名</t>
  </si>
  <si>
    <t>図形名</t>
    <phoneticPr fontId="45"/>
  </si>
  <si>
    <t>shape_width</t>
    <phoneticPr fontId="45"/>
  </si>
  <si>
    <t>図形幅</t>
    <rPh sb="2" eb="3">
      <t>ハバ</t>
    </rPh>
    <phoneticPr fontId="45"/>
  </si>
  <si>
    <t>shape_height</t>
    <phoneticPr fontId="45"/>
  </si>
  <si>
    <t>図形高さ</t>
    <rPh sb="2" eb="3">
      <t>タカ</t>
    </rPh>
    <phoneticPr fontId="45"/>
  </si>
  <si>
    <t>palette_label</t>
  </si>
  <si>
    <t>パレット表記名</t>
  </si>
  <si>
    <t>INDEX</t>
    <phoneticPr fontId="3"/>
  </si>
  <si>
    <t>NOT
NULL</t>
    <phoneticPr fontId="3"/>
  </si>
  <si>
    <t>No</t>
    <phoneticPr fontId="3"/>
  </si>
  <si>
    <r>
      <t>：</t>
    </r>
    <r>
      <rPr>
        <sz val="10"/>
        <rFont val="ＭＳ 明朝"/>
        <family val="1"/>
        <charset val="128"/>
      </rPr>
      <t>unique B*TREE（uIN）</t>
    </r>
    <phoneticPr fontId="3"/>
  </si>
  <si>
    <r>
      <t>N</t>
    </r>
    <r>
      <rPr>
        <sz val="10"/>
        <rFont val="ＭＳ 明朝"/>
        <family val="1"/>
        <charset val="128"/>
      </rPr>
      <t>OT NULL</t>
    </r>
    <phoneticPr fontId="3"/>
  </si>
  <si>
    <t>tb_trn_isdoc</t>
    <phoneticPr fontId="45"/>
  </si>
  <si>
    <t>：boolean</t>
    <phoneticPr fontId="3"/>
  </si>
  <si>
    <t>列名(日本語)</t>
    <phoneticPr fontId="3"/>
  </si>
  <si>
    <t>PK</t>
    <phoneticPr fontId="3"/>
  </si>
  <si>
    <t>INDEX</t>
    <phoneticPr fontId="3"/>
  </si>
  <si>
    <t>NOT
NULL</t>
    <phoneticPr fontId="3"/>
  </si>
  <si>
    <t>No</t>
    <phoneticPr fontId="3"/>
  </si>
  <si>
    <r>
      <t>：</t>
    </r>
    <r>
      <rPr>
        <sz val="10"/>
        <rFont val="ＭＳ 明朝"/>
        <family val="1"/>
        <charset val="128"/>
      </rPr>
      <t>unique B*TREE（uIN）</t>
    </r>
    <phoneticPr fontId="3"/>
  </si>
  <si>
    <t>：unique BlockRangeIndex（uBR）</t>
    <phoneticPr fontId="3"/>
  </si>
  <si>
    <t>設計諸元情報</t>
  </si>
  <si>
    <t>設計諸元サイト</t>
  </si>
  <si>
    <t>設計諸元基地局一覧</t>
  </si>
  <si>
    <t>設計諸元オーダー一覧</t>
  </si>
  <si>
    <t>設計諸元無線機グループ一覧</t>
  </si>
  <si>
    <t>設計諸元無線機グループデバイス一覧</t>
  </si>
  <si>
    <t>設計諸元無線機子機一覧</t>
  </si>
  <si>
    <t>設計諸元アンテナ一覧</t>
  </si>
  <si>
    <t>設計諸元付帯デバイス一覧</t>
  </si>
  <si>
    <t>設計諸元ネットワーク一覧</t>
  </si>
  <si>
    <t>設計諸元サービスバンド情報(LTE)</t>
  </si>
  <si>
    <t>設計諸元サービスバンド情報(WCDMA)</t>
  </si>
  <si>
    <t>設計諸元サービスバンド情報(5G)</t>
  </si>
  <si>
    <t>設計諸元セクタ情報一覧</t>
  </si>
  <si>
    <t>設計諸元セクタアンテナ情報一覧</t>
  </si>
  <si>
    <t>設計諸元セクタポート情報一覧</t>
  </si>
  <si>
    <t>無線機子機差分一覧</t>
  </si>
  <si>
    <t>アンテナ差分一覧</t>
  </si>
  <si>
    <t>セクタアンテナ情報差分一覧</t>
  </si>
  <si>
    <t>セクタポート情報差分一覧</t>
  </si>
  <si>
    <t>エンティティー名称</t>
    <phoneticPr fontId="3"/>
  </si>
  <si>
    <t>tb_trn_isdoc_catalog</t>
    <phoneticPr fontId="45"/>
  </si>
  <si>
    <t>設計対象部材一覧</t>
    <phoneticPr fontId="45"/>
  </si>
  <si>
    <t>□日次　□月次　□年次　■その他（随時）</t>
    <phoneticPr fontId="3"/>
  </si>
  <si>
    <r>
      <t>：B*TREE（</t>
    </r>
    <r>
      <rPr>
        <sz val="10"/>
        <rFont val="ＭＳ 明朝"/>
        <family val="1"/>
        <charset val="128"/>
      </rPr>
      <t>IN）</t>
    </r>
    <phoneticPr fontId="3"/>
  </si>
  <si>
    <t>図形名</t>
    <phoneticPr fontId="45"/>
  </si>
  <si>
    <t>shape_width</t>
    <phoneticPr fontId="45"/>
  </si>
  <si>
    <t>テーブル日本語名称</t>
    <phoneticPr fontId="3"/>
  </si>
  <si>
    <t>：boolean</t>
    <phoneticPr fontId="3"/>
  </si>
  <si>
    <t>列名(日本語)</t>
    <phoneticPr fontId="3"/>
  </si>
  <si>
    <t>長さ</t>
    <phoneticPr fontId="3"/>
  </si>
  <si>
    <r>
      <t>d</t>
    </r>
    <r>
      <rPr>
        <sz val="10"/>
        <rFont val="ＭＳ 明朝"/>
        <family val="1"/>
        <charset val="128"/>
      </rPr>
      <t>ef</t>
    </r>
    <phoneticPr fontId="3"/>
  </si>
  <si>
    <r>
      <t>：</t>
    </r>
    <r>
      <rPr>
        <sz val="10"/>
        <rFont val="ＭＳ 明朝"/>
        <family val="1"/>
        <charset val="128"/>
      </rPr>
      <t>unique B*TREE（uIN）</t>
    </r>
    <phoneticPr fontId="3"/>
  </si>
  <si>
    <t>available_service</t>
    <phoneticPr fontId="45"/>
  </si>
  <si>
    <t>tb_trn_user_settings</t>
    <phoneticPr fontId="45"/>
  </si>
  <si>
    <t>□日次　□月次　□年次　■その他（随時）</t>
    <phoneticPr fontId="3"/>
  </si>
  <si>
    <t>：boolean</t>
    <phoneticPr fontId="3"/>
  </si>
  <si>
    <t>PK</t>
    <phoneticPr fontId="3"/>
  </si>
  <si>
    <t>INDEX</t>
    <phoneticPr fontId="3"/>
  </si>
  <si>
    <t>小数</t>
    <phoneticPr fontId="3"/>
  </si>
  <si>
    <t>エンティティー名称</t>
    <phoneticPr fontId="3"/>
  </si>
  <si>
    <t>tb_his_is_task_list</t>
    <phoneticPr fontId="45"/>
  </si>
  <si>
    <t>テーブル日本語名称</t>
    <phoneticPr fontId="3"/>
  </si>
  <si>
    <t>タスク履歴</t>
    <rPh sb="3" eb="5">
      <t>リレキ</t>
    </rPh>
    <phoneticPr fontId="45"/>
  </si>
  <si>
    <t>タスク情報の履歴管理</t>
    <rPh sb="3" eb="5">
      <t>ジョウホウ</t>
    </rPh>
    <rPh sb="6" eb="8">
      <t>リレキ</t>
    </rPh>
    <rPh sb="8" eb="10">
      <t>カンリ</t>
    </rPh>
    <phoneticPr fontId="45"/>
  </si>
  <si>
    <t>INDEX</t>
    <phoneticPr fontId="3"/>
  </si>
  <si>
    <t>NOT
NULL</t>
    <phoneticPr fontId="3"/>
  </si>
  <si>
    <t>長さ</t>
    <phoneticPr fontId="3"/>
  </si>
  <si>
    <t>小数</t>
    <phoneticPr fontId="3"/>
  </si>
  <si>
    <r>
      <t>d</t>
    </r>
    <r>
      <rPr>
        <sz val="10"/>
        <rFont val="ＭＳ 明朝"/>
        <family val="1"/>
        <charset val="128"/>
      </rPr>
      <t>ef</t>
    </r>
    <phoneticPr fontId="3"/>
  </si>
  <si>
    <t>task_no</t>
    <phoneticPr fontId="45"/>
  </si>
  <si>
    <t>タスク番号</t>
    <rPh sb="3" eb="5">
      <t>バンゴウ</t>
    </rPh>
    <phoneticPr fontId="45"/>
  </si>
  <si>
    <t>タスク番号</t>
    <phoneticPr fontId="45"/>
  </si>
  <si>
    <t>order_id</t>
    <phoneticPr fontId="45"/>
  </si>
  <si>
    <t>order_id</t>
    <phoneticPr fontId="45"/>
  </si>
  <si>
    <t>オーダーID</t>
    <phoneticPr fontId="45"/>
  </si>
  <si>
    <t>オーダーID</t>
    <phoneticPr fontId="45"/>
  </si>
  <si>
    <t>CHAR</t>
    <phoneticPr fontId="45"/>
  </si>
  <si>
    <t>No</t>
    <phoneticPr fontId="3"/>
  </si>
  <si>
    <t>site_id</t>
    <phoneticPr fontId="45"/>
  </si>
  <si>
    <t>サイトID</t>
    <phoneticPr fontId="45"/>
  </si>
  <si>
    <t>begin_time</t>
    <phoneticPr fontId="45"/>
  </si>
  <si>
    <t>開始時刻</t>
    <rPh sb="0" eb="2">
      <t>カイシ</t>
    </rPh>
    <rPh sb="2" eb="4">
      <t>ジコク</t>
    </rPh>
    <phoneticPr fontId="46"/>
  </si>
  <si>
    <t>開始時刻</t>
  </si>
  <si>
    <t>end_time</t>
    <phoneticPr fontId="45"/>
  </si>
  <si>
    <t>終了時刻</t>
    <rPh sb="0" eb="2">
      <t>シュウリョウ</t>
    </rPh>
    <rPh sb="2" eb="4">
      <t>ジコク</t>
    </rPh>
    <phoneticPr fontId="45"/>
  </si>
  <si>
    <t>終了時刻</t>
  </si>
  <si>
    <t>：unique BlockRangeIndex（uBR）</t>
    <phoneticPr fontId="3"/>
  </si>
  <si>
    <t>task_name</t>
    <phoneticPr fontId="45"/>
  </si>
  <si>
    <t>タスク名</t>
    <rPh sb="3" eb="4">
      <t>メイ</t>
    </rPh>
    <phoneticPr fontId="45"/>
  </si>
  <si>
    <t>description</t>
    <phoneticPr fontId="45"/>
  </si>
  <si>
    <t>説明</t>
    <rPh sb="0" eb="2">
      <t>セツメイ</t>
    </rPh>
    <phoneticPr fontId="45"/>
  </si>
  <si>
    <r>
      <t>N</t>
    </r>
    <r>
      <rPr>
        <sz val="10"/>
        <rFont val="ＭＳ 明朝"/>
        <family val="1"/>
        <charset val="128"/>
      </rPr>
      <t>OT NULL</t>
    </r>
    <phoneticPr fontId="3"/>
  </si>
  <si>
    <t>file_name</t>
    <phoneticPr fontId="45"/>
  </si>
  <si>
    <t>ファイル名</t>
    <rPh sb="4" eb="5">
      <t>メイ</t>
    </rPh>
    <phoneticPr fontId="45"/>
  </si>
  <si>
    <t>url</t>
    <phoneticPr fontId="45"/>
  </si>
  <si>
    <t>URL</t>
    <phoneticPr fontId="45"/>
  </si>
  <si>
    <t>オーダー情報管理</t>
    <rPh sb="4" eb="6">
      <t>ジョウホウ</t>
    </rPh>
    <rPh sb="6" eb="8">
      <t>カンリ</t>
    </rPh>
    <phoneticPr fontId="45"/>
  </si>
  <si>
    <t>オーダー情報を管理する</t>
    <rPh sb="4" eb="6">
      <t>ジョウホウ</t>
    </rPh>
    <rPh sb="7" eb="9">
      <t>カンリ</t>
    </rPh>
    <phoneticPr fontId="45"/>
  </si>
  <si>
    <t>base_number</t>
    <phoneticPr fontId="45"/>
  </si>
  <si>
    <t>基地局管理番号</t>
    <rPh sb="0" eb="3">
      <t>キチキョク</t>
    </rPh>
    <rPh sb="3" eb="5">
      <t>カンリ</t>
    </rPh>
    <rPh sb="5" eb="7">
      <t>バンゴウ</t>
    </rPh>
    <phoneticPr fontId="45"/>
  </si>
  <si>
    <t>frequency_band</t>
    <phoneticPr fontId="45"/>
  </si>
  <si>
    <t>周波数</t>
    <rPh sb="0" eb="3">
      <t>シュウハスウ</t>
    </rPh>
    <phoneticPr fontId="45"/>
  </si>
  <si>
    <t>detail_design_cabling</t>
    <phoneticPr fontId="45"/>
  </si>
  <si>
    <t>詳細設計系統図</t>
    <rPh sb="0" eb="2">
      <t>ショウサイ</t>
    </rPh>
    <rPh sb="2" eb="4">
      <t>セッケイ</t>
    </rPh>
    <rPh sb="4" eb="7">
      <t>ケイトウズ</t>
    </rPh>
    <phoneticPr fontId="45"/>
  </si>
  <si>
    <t>詳細設計系統図のファイル名</t>
    <rPh sb="0" eb="2">
      <t>ショウサイ</t>
    </rPh>
    <rPh sb="2" eb="4">
      <t>セッケイ</t>
    </rPh>
    <rPh sb="4" eb="7">
      <t>ケイトウズ</t>
    </rPh>
    <rPh sb="12" eb="13">
      <t>メイ</t>
    </rPh>
    <phoneticPr fontId="45"/>
  </si>
  <si>
    <t>detail_design_loss</t>
    <phoneticPr fontId="45"/>
  </si>
  <si>
    <t>詳細設計損失表</t>
    <rPh sb="0" eb="2">
      <t>ショウサイ</t>
    </rPh>
    <rPh sb="2" eb="4">
      <t>セッケイ</t>
    </rPh>
    <rPh sb="4" eb="6">
      <t>ソンシツ</t>
    </rPh>
    <rPh sb="6" eb="7">
      <t>ヒョウ</t>
    </rPh>
    <phoneticPr fontId="45"/>
  </si>
  <si>
    <t>詳細設計損失表のファイル名</t>
    <rPh sb="0" eb="2">
      <t>ショウサイ</t>
    </rPh>
    <rPh sb="2" eb="4">
      <t>セッケイ</t>
    </rPh>
    <rPh sb="4" eb="6">
      <t>ソンシツ</t>
    </rPh>
    <rPh sb="6" eb="7">
      <t>ヒョウ</t>
    </rPh>
    <phoneticPr fontId="45"/>
  </si>
  <si>
    <t>detail_design_version</t>
    <phoneticPr fontId="45"/>
  </si>
  <si>
    <t>詳細設計図面バージョン</t>
    <rPh sb="0" eb="2">
      <t>ショウサイ</t>
    </rPh>
    <rPh sb="2" eb="4">
      <t>セッケイ</t>
    </rPh>
    <rPh sb="4" eb="6">
      <t>ズメン</t>
    </rPh>
    <phoneticPr fontId="45"/>
  </si>
  <si>
    <t>complete_design_cabling</t>
    <phoneticPr fontId="45"/>
  </si>
  <si>
    <t>竣工図書系統図</t>
    <rPh sb="0" eb="2">
      <t>シュンコウ</t>
    </rPh>
    <rPh sb="2" eb="4">
      <t>ズショ</t>
    </rPh>
    <rPh sb="4" eb="7">
      <t>ケイトウズ</t>
    </rPh>
    <phoneticPr fontId="45"/>
  </si>
  <si>
    <t>竣工図書系統図のファイル名</t>
    <rPh sb="0" eb="2">
      <t>シュンコウ</t>
    </rPh>
    <rPh sb="2" eb="4">
      <t>ズショ</t>
    </rPh>
    <rPh sb="4" eb="7">
      <t>ケイトウズ</t>
    </rPh>
    <phoneticPr fontId="45"/>
  </si>
  <si>
    <t>complete_design_loss</t>
    <phoneticPr fontId="45"/>
  </si>
  <si>
    <t>竣工図書損失表</t>
    <rPh sb="0" eb="2">
      <t>シュンコウ</t>
    </rPh>
    <rPh sb="2" eb="4">
      <t>ズショ</t>
    </rPh>
    <rPh sb="4" eb="6">
      <t>ソンシツ</t>
    </rPh>
    <rPh sb="6" eb="7">
      <t>ヒョウ</t>
    </rPh>
    <phoneticPr fontId="45"/>
  </si>
  <si>
    <t>竣工図書損失表のファイル名</t>
    <rPh sb="0" eb="2">
      <t>シュンコウ</t>
    </rPh>
    <rPh sb="2" eb="4">
      <t>ズショ</t>
    </rPh>
    <rPh sb="4" eb="6">
      <t>ソンシツ</t>
    </rPh>
    <rPh sb="6" eb="7">
      <t>ヒョウ</t>
    </rPh>
    <phoneticPr fontId="45"/>
  </si>
  <si>
    <t>complete_design_version</t>
    <phoneticPr fontId="45"/>
  </si>
  <si>
    <t>竣工図書図面バージョン</t>
    <rPh sb="0" eb="2">
      <t>シュンコウ</t>
    </rPh>
    <rPh sb="2" eb="4">
      <t>ズショ</t>
    </rPh>
    <rPh sb="4" eb="6">
      <t>ズメン</t>
    </rPh>
    <phoneticPr fontId="45"/>
  </si>
  <si>
    <t>tb_his_is_task_list</t>
  </si>
  <si>
    <t>tb_trn_is_order_info</t>
  </si>
  <si>
    <t>tb_trn_is_order_info</t>
    <phoneticPr fontId="45"/>
  </si>
  <si>
    <t>site_id</t>
  </si>
  <si>
    <t>サイトID</t>
  </si>
  <si>
    <t>地域名</t>
  </si>
  <si>
    <t>isdoc_lock</t>
  </si>
  <si>
    <t>諸元ロック</t>
  </si>
  <si>
    <t>frequency_service_info</t>
  </si>
  <si>
    <t>周波数サービス情報</t>
  </si>
  <si>
    <t>keitouzu_radio_head</t>
  </si>
  <si>
    <t>系統図無線機子機一覧</t>
  </si>
  <si>
    <t>duke_radio_head</t>
  </si>
  <si>
    <t>DUKe無線機子機一覧</t>
  </si>
  <si>
    <t>duke_antenna_device</t>
  </si>
  <si>
    <t>DUKeアンテナ一覧</t>
  </si>
  <si>
    <t>duke_sector_antenna</t>
  </si>
  <si>
    <t>DUKeセクタアンテナ情報一覧</t>
  </si>
  <si>
    <t>duke_design_port</t>
  </si>
  <si>
    <t>DUKeセクタポート情報一覧</t>
  </si>
  <si>
    <t>diff_radio_head</t>
  </si>
  <si>
    <t>diff_antenna_device</t>
  </si>
  <si>
    <t>diff_sector_antenna</t>
  </si>
  <si>
    <t>diff_design_port</t>
  </si>
  <si>
    <t>duke_sync_json</t>
  </si>
  <si>
    <t>DUKe同期情報</t>
  </si>
  <si>
    <t>aegis_send_json</t>
  </si>
  <si>
    <t>AEGIS免許連携情報</t>
  </si>
  <si>
    <t>default_frequency_band</t>
  </si>
  <si>
    <t>基本周波数</t>
  </si>
  <si>
    <t>buildings</t>
  </si>
  <si>
    <t>物件情報一覧</t>
  </si>
  <si>
    <t>シミュレーション計算ステータス</t>
  </si>
  <si>
    <t>シミュレーション計算進捗</t>
  </si>
  <si>
    <t>シミュレーション作業ID</t>
  </si>
  <si>
    <t>予測図情報</t>
  </si>
  <si>
    <t>create_user_name</t>
    <phoneticPr fontId="50"/>
  </si>
  <si>
    <t>作成ユーザ名</t>
    <rPh sb="0" eb="2">
      <t>サクセイ</t>
    </rPh>
    <rPh sb="5" eb="6">
      <t>メイ</t>
    </rPh>
    <phoneticPr fontId="50"/>
  </si>
  <si>
    <t>update_user_name</t>
    <phoneticPr fontId="50"/>
  </si>
  <si>
    <t>更新ユーザ名</t>
    <rPh sb="0" eb="2">
      <t>コウシン</t>
    </rPh>
    <rPh sb="5" eb="6">
      <t>メイ</t>
    </rPh>
    <phoneticPr fontId="50"/>
  </si>
  <si>
    <t>屋内運用ドキュメント</t>
    <rPh sb="0" eb="2">
      <t>オクナイ</t>
    </rPh>
    <rPh sb="2" eb="4">
      <t>ウンヨウ</t>
    </rPh>
    <phoneticPr fontId="45"/>
  </si>
  <si>
    <t>屋内運用情報を格納するテーブル</t>
    <rPh sb="0" eb="2">
      <t>オクナイ</t>
    </rPh>
    <rPh sb="2" eb="4">
      <t>ウンヨウ</t>
    </rPh>
    <rPh sb="4" eb="6">
      <t>ジョウホウ</t>
    </rPh>
    <rPh sb="7" eb="9">
      <t>カクノウ</t>
    </rPh>
    <phoneticPr fontId="45"/>
  </si>
  <si>
    <t>tb_trn_isdoc_act</t>
  </si>
  <si>
    <t>tb_trn_isdoc_act</t>
    <phoneticPr fontId="45"/>
  </si>
  <si>
    <t>運用諸元サイト</t>
  </si>
  <si>
    <t>運用諸元基地局一覧</t>
  </si>
  <si>
    <t>運用諸元オーダー一覧</t>
  </si>
  <si>
    <t>運用諸元無線機グループ一覧</t>
  </si>
  <si>
    <t>運用諸元無線機グループデバイス一覧</t>
  </si>
  <si>
    <t>運用諸元無線機子機一覧</t>
  </si>
  <si>
    <t>運用諸元アンテナ一覧</t>
  </si>
  <si>
    <t>運用諸元付帯デバイス一覧</t>
  </si>
  <si>
    <t>運用諸元ネットワーク一覧</t>
  </si>
  <si>
    <t>運用諸元サービスバンド情報(LTE)</t>
  </si>
  <si>
    <t>運用諸元サービスバンド情報(WCDMA)</t>
  </si>
  <si>
    <t>運用諸元サービスバンド情報(5G)</t>
  </si>
  <si>
    <t>運用諸元セクタ情報一覧</t>
  </si>
  <si>
    <t>運用諸元セクタアンテナ情報一覧</t>
  </si>
  <si>
    <t>運用諸元セクタポート情報一覧</t>
  </si>
  <si>
    <t>運用諸元情報</t>
    <rPh sb="0" eb="2">
      <t>ウニョウ</t>
    </rPh>
    <phoneticPr fontId="45"/>
  </si>
  <si>
    <t>actual_port</t>
  </si>
  <si>
    <t>actual_specification</t>
  </si>
  <si>
    <t>actual_site</t>
  </si>
  <si>
    <t>actual_base_station</t>
  </si>
  <si>
    <t>actual_order</t>
  </si>
  <si>
    <t>actual_radio_group</t>
  </si>
  <si>
    <t>actual_radio_group_device</t>
  </si>
  <si>
    <t>actual_radio_head</t>
  </si>
  <si>
    <t>actual_antenna_device</t>
  </si>
  <si>
    <t>actual_misc_device</t>
  </si>
  <si>
    <t>actual_network</t>
  </si>
  <si>
    <t>actual_service_band_lte</t>
  </si>
  <si>
    <t>actual_service_band_wcdma</t>
  </si>
  <si>
    <t>actual_service_band_5g</t>
  </si>
  <si>
    <t>actual_sector</t>
  </si>
  <si>
    <t>actual_sector_antenna</t>
  </si>
  <si>
    <t>sw_version</t>
  </si>
  <si>
    <t>sw_version</t>
    <phoneticPr fontId="45"/>
  </si>
  <si>
    <t>ソフトウェアバージョン</t>
  </si>
  <si>
    <t>ソフトウェアバージョン</t>
    <phoneticPr fontId="45"/>
  </si>
  <si>
    <t>*</t>
    <phoneticPr fontId="45"/>
  </si>
  <si>
    <t>運用対象部材一覧</t>
    <rPh sb="0" eb="2">
      <t>ウンヨウ</t>
    </rPh>
    <phoneticPr fontId="45"/>
  </si>
  <si>
    <t>tb_trn_isdoc_catalog_act</t>
  </si>
  <si>
    <t>tb_trn_isdoc_catalog_act</t>
    <phoneticPr fontId="45"/>
  </si>
  <si>
    <t>C:\Users\developer01.DESKTOP-LIQ8E0P\Desktop\DB_BACKUP\NEW_DDL-20210408</t>
    <phoneticPr fontId="45"/>
  </si>
  <si>
    <t>spec_id</t>
    <phoneticPr fontId="4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</si>
</sst>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"/>
    <numFmt numFmtId="177" formatCode="#,##0;\-#,##0;&quot;-&quot;"/>
    <numFmt numFmtId="178" formatCode="\ \ \ "/>
    <numFmt numFmtId="179" formatCode="#,##0.0&quot;人月&quot;"/>
    <numFmt numFmtId="180" formatCode="[&gt;=1000000]#,###,,&quot;M&quot;;[&gt;=1000]#,###,&quot;K&quot;;#,##0"/>
  </numFmts>
  <fonts count="56">
    <font>
      <sz val="10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sz val="6"/>
      <name val="ＭＳ Ｐ明朝"/>
      <family val="1"/>
      <charset val="128"/>
    </font>
    <font>
      <sz val="10"/>
      <name val="ＭＳ ゴシック"/>
      <family val="3"/>
      <charset val="128"/>
    </font>
    <font>
      <u/>
      <sz val="10"/>
      <color indexed="12"/>
      <name val="ＭＳ 明朝"/>
      <family val="1"/>
      <charset val="128"/>
    </font>
    <font>
      <b/>
      <sz val="10"/>
      <color indexed="12"/>
      <name val="ＭＳ 明朝"/>
      <family val="1"/>
      <charset val="128"/>
    </font>
    <font>
      <sz val="11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name val="明朝"/>
      <family val="1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ＭＳ ゴシック"/>
      <family val="3"/>
      <charset val="128"/>
    </font>
    <font>
      <sz val="14"/>
      <name val="明朝"/>
      <family val="1"/>
      <charset val="128"/>
    </font>
    <font>
      <b/>
      <u/>
      <sz val="18"/>
      <name val="標準ゴシック"/>
      <family val="3"/>
      <charset val="128"/>
    </font>
    <font>
      <sz val="12"/>
      <name val="本明朝－Ｍ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明朝"/>
      <family val="1"/>
      <charset val="128"/>
    </font>
    <font>
      <sz val="10"/>
      <color rgb="FF000000"/>
      <name val="ＭＳ 明朝"/>
      <family val="1"/>
      <charset val="128"/>
    </font>
    <font>
      <u/>
      <sz val="10"/>
      <name val="ＭＳ 明朝"/>
      <family val="1"/>
      <charset val="128"/>
    </font>
    <font>
      <sz val="10"/>
      <color rgb="FF000000"/>
      <name val="MS Mincho"/>
      <family val="1"/>
      <charset val="128"/>
    </font>
    <font>
      <sz val="9"/>
      <color theme="1"/>
      <name val="MS Mincho"/>
      <family val="1"/>
      <charset val="128"/>
    </font>
    <font>
      <sz val="6"/>
      <name val="ＭＳ Ｐゴシック"/>
      <family val="3"/>
      <charset val="128"/>
    </font>
    <font>
      <sz val="10"/>
      <color theme="1"/>
      <name val="MS Mincho"/>
      <family val="1"/>
      <charset val="128"/>
    </font>
    <font>
      <sz val="10"/>
      <color rgb="FFFF0000"/>
      <name val="MS Mincho"/>
      <family val="1"/>
      <charset val="128"/>
    </font>
    <font>
      <sz val="10"/>
      <color theme="1"/>
      <name val="ＭＳ 明朝"/>
      <family val="1"/>
      <charset val="128"/>
    </font>
    <font>
      <sz val="10"/>
      <color rgb="FFFF0000"/>
      <name val="ＭＳ 明朝"/>
      <family val="1"/>
      <charset val="128"/>
    </font>
    <font>
      <sz val="9"/>
      <color theme="1"/>
      <name val="ＭＳ 明朝"/>
      <family val="1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29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/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</borders>
  <cellStyleXfs count="81">
    <xf numFmtId="0" fontId="0" fillId="0" borderId="0"/>
    <xf numFmtId="0" fontId="7" fillId="0" borderId="0"/>
    <xf numFmtId="0" fontId="10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2" fillId="0" borderId="0" applyFill="0" applyBorder="0" applyAlignment="0"/>
    <xf numFmtId="0" fontId="13" fillId="0" borderId="0">
      <alignment horizontal="left"/>
    </xf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0" fontId="36" fillId="0" borderId="0"/>
    <xf numFmtId="0" fontId="15" fillId="0" borderId="0"/>
    <xf numFmtId="4" fontId="13" fillId="0" borderId="0">
      <alignment horizontal="right"/>
    </xf>
    <xf numFmtId="0" fontId="16" fillId="0" borderId="0" applyNumberFormat="0" applyFont="0" applyFill="0" applyBorder="0" applyAlignment="0" applyProtection="0">
      <alignment horizontal="left"/>
    </xf>
    <xf numFmtId="0" fontId="17" fillId="0" borderId="3">
      <alignment horizontal="center"/>
    </xf>
    <xf numFmtId="4" fontId="18" fillId="0" borderId="0">
      <alignment horizontal="right"/>
    </xf>
    <xf numFmtId="0" fontId="19" fillId="0" borderId="0">
      <alignment horizontal="left"/>
    </xf>
    <xf numFmtId="0" fontId="14" fillId="0" borderId="4" applyFill="0" applyBorder="0" applyProtection="0">
      <alignment horizontal="left" vertical="top" wrapText="1" indent="1"/>
      <protection hidden="1"/>
    </xf>
    <xf numFmtId="0" fontId="20" fillId="0" borderId="4" applyFill="0" applyBorder="0" applyProtection="0">
      <alignment horizontal="left" vertical="top" wrapText="1" indent="2"/>
      <protection hidden="1"/>
    </xf>
    <xf numFmtId="0" fontId="21" fillId="0" borderId="4" applyFill="0" applyBorder="0" applyProtection="0">
      <alignment horizontal="left" vertical="top" wrapText="1" indent="3"/>
      <protection hidden="1"/>
    </xf>
    <xf numFmtId="0" fontId="22" fillId="0" borderId="4" applyFill="0" applyBorder="0" applyProtection="0">
      <alignment horizontal="left" vertical="center" wrapText="1" indent="4"/>
      <protection hidden="1"/>
    </xf>
    <xf numFmtId="0" fontId="23" fillId="0" borderId="0">
      <alignment horizontal="center"/>
    </xf>
    <xf numFmtId="0" fontId="11" fillId="16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0" borderId="5" applyNumberFormat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0" fillId="22" borderId="6" applyNumberFormat="0" applyFont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28" fillId="3" borderId="0" applyNumberFormat="0" applyBorder="0" applyAlignment="0" applyProtection="0">
      <alignment vertical="center"/>
    </xf>
    <xf numFmtId="0" fontId="29" fillId="23" borderId="8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5" fillId="23" borderId="13" applyNumberFormat="0" applyAlignment="0" applyProtection="0">
      <alignment vertical="center"/>
    </xf>
    <xf numFmtId="179" fontId="36" fillId="0" borderId="0"/>
    <xf numFmtId="0" fontId="37" fillId="0" borderId="0" applyNumberFormat="0" applyFill="0" applyBorder="0" applyAlignment="0" applyProtection="0">
      <alignment vertical="center"/>
    </xf>
    <xf numFmtId="0" fontId="38" fillId="7" borderId="8" applyNumberFormat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2" fillId="0" borderId="0"/>
    <xf numFmtId="0" fontId="39" fillId="0" borderId="0">
      <alignment vertical="center"/>
    </xf>
    <xf numFmtId="0" fontId="2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4" fillId="0" borderId="0"/>
    <xf numFmtId="0" fontId="40" fillId="0" borderId="14">
      <alignment horizontal="left"/>
    </xf>
    <xf numFmtId="0" fontId="41" fillId="0" borderId="0">
      <alignment horizontal="center" vertical="center"/>
    </xf>
    <xf numFmtId="178" fontId="42" fillId="0" borderId="0" applyFont="0" applyFill="0" applyBorder="0" applyAlignment="0" applyProtection="0"/>
    <xf numFmtId="0" fontId="43" fillId="4" borderId="0" applyNumberFormat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48" fillId="0" borderId="0"/>
  </cellStyleXfs>
  <cellXfs count="287">
    <xf numFmtId="0" fontId="0" fillId="0" borderId="0" xfId="0"/>
    <xf numFmtId="0" fontId="2" fillId="0" borderId="0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center" vertical="top"/>
    </xf>
    <xf numFmtId="0" fontId="2" fillId="0" borderId="0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top"/>
    </xf>
    <xf numFmtId="0" fontId="4" fillId="0" borderId="0" xfId="0" applyFont="1"/>
    <xf numFmtId="49" fontId="4" fillId="0" borderId="0" xfId="0" applyNumberFormat="1" applyFont="1"/>
    <xf numFmtId="0" fontId="4" fillId="0" borderId="0" xfId="73" applyFont="1" applyAlignment="1">
      <alignment vertical="top"/>
    </xf>
    <xf numFmtId="0" fontId="2" fillId="0" borderId="17" xfId="73" applyFont="1" applyFill="1" applyBorder="1" applyAlignment="1">
      <alignment vertical="top" wrapText="1"/>
    </xf>
    <xf numFmtId="0" fontId="2" fillId="0" borderId="17" xfId="67" applyFont="1" applyFill="1" applyBorder="1" applyAlignment="1">
      <alignment vertical="top" wrapText="1"/>
    </xf>
    <xf numFmtId="49" fontId="0" fillId="0" borderId="16" xfId="0" applyNumberFormat="1" applyFont="1" applyFill="1" applyBorder="1" applyAlignment="1">
      <alignment horizontal="center"/>
    </xf>
    <xf numFmtId="0" fontId="8" fillId="0" borderId="17" xfId="72" applyFont="1" applyFill="1" applyBorder="1" applyAlignment="1">
      <alignment vertical="top" wrapText="1"/>
    </xf>
    <xf numFmtId="0" fontId="2" fillId="0" borderId="17" xfId="0" applyFont="1" applyFill="1" applyBorder="1" applyAlignment="1">
      <alignment vertical="top" wrapText="1"/>
    </xf>
    <xf numFmtId="0" fontId="2" fillId="0" borderId="17" xfId="0" applyFont="1" applyFill="1" applyBorder="1" applyAlignment="1">
      <alignment horizontal="center" vertical="top" wrapText="1"/>
    </xf>
    <xf numFmtId="0" fontId="2" fillId="0" borderId="17" xfId="72" applyFont="1" applyFill="1" applyBorder="1" applyAlignment="1">
      <alignment vertical="top" wrapText="1"/>
    </xf>
    <xf numFmtId="0" fontId="2" fillId="0" borderId="27" xfId="0" applyFont="1" applyFill="1" applyBorder="1" applyAlignment="1">
      <alignment horizontal="left" vertical="top" wrapText="1"/>
    </xf>
    <xf numFmtId="0" fontId="2" fillId="0" borderId="28" xfId="67" applyFont="1" applyFill="1" applyBorder="1" applyAlignment="1">
      <alignment vertical="top" wrapText="1"/>
    </xf>
    <xf numFmtId="0" fontId="6" fillId="0" borderId="0" xfId="0" applyFont="1" applyFill="1" applyAlignment="1">
      <alignment vertical="top" wrapText="1"/>
    </xf>
    <xf numFmtId="0" fontId="0" fillId="0" borderId="26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0" fontId="0" fillId="0" borderId="17" xfId="0" applyFont="1" applyFill="1" applyBorder="1" applyAlignment="1">
      <alignment horizontal="right" vertical="top" wrapText="1"/>
    </xf>
    <xf numFmtId="0" fontId="0" fillId="0" borderId="26" xfId="0" applyFont="1" applyFill="1" applyBorder="1" applyAlignment="1">
      <alignment horizontal="right" vertical="top" wrapText="1"/>
    </xf>
    <xf numFmtId="0" fontId="0" fillId="0" borderId="17" xfId="0" applyFont="1" applyFill="1" applyBorder="1" applyAlignment="1">
      <alignment vertical="top" wrapText="1"/>
    </xf>
    <xf numFmtId="0" fontId="1" fillId="0" borderId="0" xfId="0" applyFont="1" applyFill="1" applyAlignment="1">
      <alignment vertical="top" wrapText="1"/>
    </xf>
    <xf numFmtId="0" fontId="4" fillId="0" borderId="0" xfId="73" applyFont="1" applyBorder="1" applyAlignment="1">
      <alignment vertical="top"/>
    </xf>
    <xf numFmtId="0" fontId="2" fillId="0" borderId="0" xfId="73" applyFont="1" applyFill="1" applyBorder="1" applyAlignment="1">
      <alignment vertical="top" wrapText="1"/>
    </xf>
    <xf numFmtId="0" fontId="4" fillId="0" borderId="0" xfId="73" applyFont="1" applyFill="1" applyBorder="1" applyAlignment="1">
      <alignment horizontal="left" vertical="top"/>
    </xf>
    <xf numFmtId="0" fontId="44" fillId="0" borderId="0" xfId="73" applyFont="1" applyFill="1" applyBorder="1" applyAlignment="1">
      <alignment vertical="top" wrapText="1"/>
    </xf>
    <xf numFmtId="0" fontId="0" fillId="0" borderId="0" xfId="0" applyFont="1" applyFill="1" applyBorder="1" applyAlignment="1">
      <alignment horizontal="right" vertical="top"/>
    </xf>
    <xf numFmtId="0" fontId="0" fillId="0" borderId="0" xfId="0" applyFont="1" applyFill="1" applyBorder="1" applyAlignment="1">
      <alignment vertical="top"/>
    </xf>
    <xf numFmtId="0" fontId="0" fillId="0" borderId="17" xfId="73" applyFont="1" applyFill="1" applyBorder="1" applyAlignment="1">
      <alignment vertical="top" wrapText="1"/>
    </xf>
    <xf numFmtId="0" fontId="0" fillId="0" borderId="27" xfId="0" applyFont="1" applyFill="1" applyBorder="1" applyAlignment="1">
      <alignment horizontal="left" vertical="top" wrapText="1"/>
    </xf>
    <xf numFmtId="0" fontId="0" fillId="24" borderId="3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2" fillId="0" borderId="0" xfId="0" applyFont="1" applyFill="1" applyAlignment="1">
      <alignment horizontal="center" vertical="center"/>
    </xf>
    <xf numFmtId="0" fontId="0" fillId="0" borderId="28" xfId="67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right" vertical="top"/>
    </xf>
    <xf numFmtId="0" fontId="0" fillId="0" borderId="0" xfId="0" applyFont="1" applyFill="1" applyAlignment="1">
      <alignment horizontal="right" vertical="top" wrapText="1"/>
    </xf>
    <xf numFmtId="0" fontId="0" fillId="0" borderId="28" xfId="67" applyFont="1" applyFill="1" applyBorder="1" applyAlignment="1">
      <alignment vertical="top" wrapText="1"/>
    </xf>
    <xf numFmtId="0" fontId="0" fillId="26" borderId="4" xfId="0" applyFill="1" applyBorder="1"/>
    <xf numFmtId="0" fontId="0" fillId="0" borderId="4" xfId="0" applyBorder="1"/>
    <xf numFmtId="0" fontId="0" fillId="26" borderId="53" xfId="0" applyFill="1" applyBorder="1"/>
    <xf numFmtId="0" fontId="4" fillId="0" borderId="0" xfId="0" quotePrefix="1" applyFont="1"/>
    <xf numFmtId="0" fontId="0" fillId="0" borderId="58" xfId="0" applyBorder="1"/>
    <xf numFmtId="38" fontId="0" fillId="0" borderId="58" xfId="79" applyFont="1" applyBorder="1" applyAlignment="1"/>
    <xf numFmtId="180" fontId="0" fillId="0" borderId="58" xfId="0" applyNumberFormat="1" applyBorder="1"/>
    <xf numFmtId="38" fontId="0" fillId="0" borderId="4" xfId="79" applyFont="1" applyBorder="1" applyAlignment="1"/>
    <xf numFmtId="180" fontId="0" fillId="0" borderId="4" xfId="0" applyNumberFormat="1" applyBorder="1"/>
    <xf numFmtId="0" fontId="0" fillId="0" borderId="0" xfId="0" applyBorder="1"/>
    <xf numFmtId="0" fontId="4" fillId="24" borderId="59" xfId="0" applyFont="1" applyFill="1" applyBorder="1"/>
    <xf numFmtId="0" fontId="4" fillId="24" borderId="59" xfId="0" applyFont="1" applyFill="1" applyBorder="1" applyAlignment="1">
      <alignment horizontal="center"/>
    </xf>
    <xf numFmtId="0" fontId="0" fillId="0" borderId="17" xfId="67" applyFont="1" applyFill="1" applyBorder="1" applyAlignment="1">
      <alignment vertical="top" wrapText="1"/>
    </xf>
    <xf numFmtId="0" fontId="0" fillId="0" borderId="25" xfId="72" applyFont="1" applyFill="1" applyBorder="1" applyAlignment="1">
      <alignment vertical="top" wrapText="1"/>
    </xf>
    <xf numFmtId="0" fontId="0" fillId="0" borderId="24" xfId="72" applyFont="1" applyFill="1" applyBorder="1" applyAlignment="1">
      <alignment wrapText="1"/>
    </xf>
    <xf numFmtId="0" fontId="0" fillId="0" borderId="17" xfId="0" applyFont="1" applyFill="1" applyBorder="1" applyAlignment="1">
      <alignment horizontal="center" vertical="top" wrapText="1"/>
    </xf>
    <xf numFmtId="0" fontId="0" fillId="24" borderId="4" xfId="0" applyFont="1" applyFill="1" applyBorder="1" applyAlignment="1">
      <alignment vertical="top"/>
    </xf>
    <xf numFmtId="0" fontId="0" fillId="0" borderId="22" xfId="0" applyFont="1" applyBorder="1" applyAlignment="1">
      <alignment horizontal="center" vertical="top"/>
    </xf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center" vertical="top"/>
    </xf>
    <xf numFmtId="0" fontId="0" fillId="0" borderId="0" xfId="0" applyFont="1" applyFill="1" applyBorder="1" applyAlignment="1">
      <alignment vertical="top" wrapText="1"/>
    </xf>
    <xf numFmtId="0" fontId="0" fillId="24" borderId="19" xfId="0" applyFont="1" applyFill="1" applyBorder="1" applyAlignment="1">
      <alignment horizontal="center" vertical="center"/>
    </xf>
    <xf numFmtId="0" fontId="0" fillId="24" borderId="15" xfId="0" applyFont="1" applyFill="1" applyBorder="1" applyAlignment="1">
      <alignment horizontal="center"/>
    </xf>
    <xf numFmtId="0" fontId="0" fillId="24" borderId="20" xfId="0" applyFont="1" applyFill="1" applyBorder="1" applyAlignment="1">
      <alignment horizontal="center" vertical="center"/>
    </xf>
    <xf numFmtId="0" fontId="0" fillId="0" borderId="17" xfId="72" applyFont="1" applyFill="1" applyBorder="1" applyAlignment="1">
      <alignment vertical="top" wrapText="1"/>
    </xf>
    <xf numFmtId="0" fontId="0" fillId="0" borderId="0" xfId="0" applyFont="1" applyFill="1" applyBorder="1" applyAlignment="1">
      <alignment horizontal="center" vertical="center"/>
    </xf>
    <xf numFmtId="3" fontId="0" fillId="0" borderId="17" xfId="0" applyNumberFormat="1" applyFont="1" applyFill="1" applyBorder="1" applyAlignment="1">
      <alignment vertical="top" wrapText="1"/>
    </xf>
    <xf numFmtId="0" fontId="0" fillId="0" borderId="17" xfId="73" applyFont="1" applyFill="1" applyBorder="1" applyAlignment="1">
      <alignment horizontal="left" vertical="center" wrapText="1"/>
    </xf>
    <xf numFmtId="0" fontId="0" fillId="0" borderId="17" xfId="0" applyFont="1" applyFill="1" applyBorder="1" applyAlignment="1">
      <alignment horizontal="left" vertical="top" wrapText="1"/>
    </xf>
    <xf numFmtId="0" fontId="0" fillId="0" borderId="17" xfId="0" applyFont="1" applyFill="1" applyBorder="1" applyAlignment="1">
      <alignment vertical="top"/>
    </xf>
    <xf numFmtId="0" fontId="0" fillId="0" borderId="17" xfId="0" applyFont="1" applyFill="1" applyBorder="1" applyAlignment="1">
      <alignment horizontal="center" vertical="top"/>
    </xf>
    <xf numFmtId="0" fontId="0" fillId="0" borderId="27" xfId="0" applyFont="1" applyFill="1" applyBorder="1" applyAlignment="1">
      <alignment vertical="top" wrapText="1"/>
    </xf>
    <xf numFmtId="0" fontId="0" fillId="0" borderId="28" xfId="0" applyFont="1" applyFill="1" applyBorder="1" applyAlignment="1">
      <alignment vertical="top"/>
    </xf>
    <xf numFmtId="0" fontId="0" fillId="0" borderId="28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right" vertical="top" wrapText="1"/>
    </xf>
    <xf numFmtId="0" fontId="0" fillId="0" borderId="18" xfId="0" applyFont="1" applyFill="1" applyBorder="1" applyAlignment="1">
      <alignment horizontal="right" vertical="top" wrapText="1"/>
    </xf>
    <xf numFmtId="0" fontId="0" fillId="0" borderId="18" xfId="73" applyFont="1" applyFill="1" applyBorder="1" applyAlignment="1">
      <alignment vertical="top" wrapText="1"/>
    </xf>
    <xf numFmtId="0" fontId="0" fillId="0" borderId="18" xfId="0" applyFont="1" applyFill="1" applyBorder="1" applyAlignment="1">
      <alignment horizontal="left" vertical="top" wrapText="1"/>
    </xf>
    <xf numFmtId="0" fontId="0" fillId="0" borderId="18" xfId="0" applyFont="1" applyFill="1" applyBorder="1" applyAlignment="1">
      <alignment vertical="top" wrapText="1"/>
    </xf>
    <xf numFmtId="0" fontId="0" fillId="0" borderId="18" xfId="0" applyFont="1" applyFill="1" applyBorder="1" applyAlignment="1">
      <alignment horizontal="center" vertical="top" wrapText="1"/>
    </xf>
    <xf numFmtId="14" fontId="0" fillId="0" borderId="30" xfId="0" applyNumberFormat="1" applyFont="1" applyFill="1" applyBorder="1" applyAlignment="1">
      <alignment horizontal="left" vertical="top" wrapText="1"/>
    </xf>
    <xf numFmtId="0" fontId="0" fillId="0" borderId="31" xfId="0" applyFont="1" applyFill="1" applyBorder="1" applyAlignment="1">
      <alignment vertical="top" wrapText="1"/>
    </xf>
    <xf numFmtId="0" fontId="0" fillId="0" borderId="31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0" fillId="0" borderId="32" xfId="0" applyFont="1" applyFill="1" applyBorder="1" applyAlignment="1">
      <alignment horizontal="left" vertical="top" wrapText="1"/>
    </xf>
    <xf numFmtId="176" fontId="0" fillId="0" borderId="23" xfId="0" applyNumberFormat="1" applyFont="1" applyFill="1" applyBorder="1" applyAlignment="1">
      <alignment horizontal="left" vertical="top" wrapText="1"/>
    </xf>
    <xf numFmtId="0" fontId="49" fillId="0" borderId="60" xfId="80" applyFont="1" applyBorder="1" applyAlignment="1">
      <alignment vertical="top" wrapText="1"/>
    </xf>
    <xf numFmtId="0" fontId="51" fillId="0" borderId="60" xfId="80" applyFont="1" applyBorder="1" applyAlignment="1">
      <alignment vertical="top" wrapText="1"/>
    </xf>
    <xf numFmtId="0" fontId="52" fillId="0" borderId="60" xfId="80" applyFont="1" applyBorder="1" applyAlignment="1">
      <alignment vertical="top" wrapText="1"/>
    </xf>
    <xf numFmtId="0" fontId="51" fillId="0" borderId="60" xfId="80" applyFont="1" applyFill="1" applyBorder="1" applyAlignment="1">
      <alignment horizontal="center" vertical="top" wrapText="1"/>
    </xf>
    <xf numFmtId="0" fontId="51" fillId="0" borderId="60" xfId="80" applyFont="1" applyFill="1" applyBorder="1" applyAlignment="1">
      <alignment vertical="top" wrapText="1"/>
    </xf>
    <xf numFmtId="0" fontId="51" fillId="0" borderId="61" xfId="80" applyFont="1" applyBorder="1" applyAlignment="1">
      <alignment horizontal="left" vertical="top" wrapText="1"/>
    </xf>
    <xf numFmtId="0" fontId="51" fillId="0" borderId="62" xfId="80" applyFont="1" applyBorder="1" applyAlignment="1">
      <alignment vertical="top" wrapText="1"/>
    </xf>
    <xf numFmtId="0" fontId="49" fillId="0" borderId="63" xfId="80" applyFont="1" applyBorder="1" applyAlignment="1">
      <alignment vertical="top" wrapText="1"/>
    </xf>
    <xf numFmtId="0" fontId="51" fillId="0" borderId="63" xfId="80" applyFont="1" applyBorder="1" applyAlignment="1">
      <alignment vertical="top" wrapText="1"/>
    </xf>
    <xf numFmtId="0" fontId="51" fillId="0" borderId="64" xfId="80" applyFont="1" applyBorder="1" applyAlignment="1">
      <alignment vertical="top" wrapText="1"/>
    </xf>
    <xf numFmtId="0" fontId="52" fillId="0" borderId="64" xfId="80" applyFont="1" applyBorder="1" applyAlignment="1">
      <alignment vertical="top" wrapText="1"/>
    </xf>
    <xf numFmtId="0" fontId="51" fillId="0" borderId="64" xfId="80" applyFont="1" applyBorder="1" applyAlignment="1">
      <alignment horizontal="center" vertical="top" wrapText="1"/>
    </xf>
    <xf numFmtId="0" fontId="51" fillId="0" borderId="65" xfId="80" applyFont="1" applyBorder="1" applyAlignment="1">
      <alignment horizontal="left" vertical="top" wrapText="1"/>
    </xf>
    <xf numFmtId="0" fontId="51" fillId="0" borderId="65" xfId="80" applyFont="1" applyFill="1" applyBorder="1" applyAlignment="1">
      <alignment horizontal="left" vertical="top" wrapText="1"/>
    </xf>
    <xf numFmtId="0" fontId="51" fillId="0" borderId="66" xfId="80" applyFont="1" applyBorder="1" applyAlignment="1">
      <alignment vertical="top" wrapText="1"/>
    </xf>
    <xf numFmtId="0" fontId="49" fillId="0" borderId="64" xfId="80" applyFont="1" applyBorder="1" applyAlignment="1">
      <alignment vertical="top" wrapText="1"/>
    </xf>
    <xf numFmtId="0" fontId="51" fillId="0" borderId="64" xfId="80" applyFont="1" applyFill="1" applyBorder="1" applyAlignment="1">
      <alignment vertical="top" wrapText="1"/>
    </xf>
    <xf numFmtId="0" fontId="53" fillId="0" borderId="17" xfId="0" applyFont="1" applyFill="1" applyBorder="1" applyAlignment="1">
      <alignment horizontal="right" vertical="top" wrapText="1"/>
    </xf>
    <xf numFmtId="0" fontId="49" fillId="0" borderId="60" xfId="0" applyFont="1" applyBorder="1" applyAlignment="1">
      <alignment vertical="top" wrapText="1"/>
    </xf>
    <xf numFmtId="0" fontId="51" fillId="0" borderId="60" xfId="0" applyFont="1" applyBorder="1" applyAlignment="1">
      <alignment vertical="top" wrapText="1"/>
    </xf>
    <xf numFmtId="0" fontId="51" fillId="0" borderId="60" xfId="0" applyFont="1" applyBorder="1" applyAlignment="1">
      <alignment horizontal="center" vertical="top" wrapText="1"/>
    </xf>
    <xf numFmtId="0" fontId="51" fillId="0" borderId="61" xfId="0" applyFont="1" applyBorder="1" applyAlignment="1">
      <alignment horizontal="left" vertical="top" wrapText="1"/>
    </xf>
    <xf numFmtId="0" fontId="51" fillId="0" borderId="62" xfId="0" applyFont="1" applyBorder="1" applyAlignment="1">
      <alignment vertical="top" wrapText="1"/>
    </xf>
    <xf numFmtId="0" fontId="49" fillId="0" borderId="63" xfId="0" applyFont="1" applyBorder="1" applyAlignment="1">
      <alignment vertical="top" wrapText="1"/>
    </xf>
    <xf numFmtId="0" fontId="51" fillId="0" borderId="63" xfId="0" applyFont="1" applyBorder="1" applyAlignment="1">
      <alignment vertical="top" wrapText="1"/>
    </xf>
    <xf numFmtId="0" fontId="51" fillId="0" borderId="64" xfId="0" applyFont="1" applyBorder="1" applyAlignment="1">
      <alignment vertical="top" wrapText="1"/>
    </xf>
    <xf numFmtId="0" fontId="51" fillId="0" borderId="64" xfId="0" applyFont="1" applyBorder="1" applyAlignment="1">
      <alignment horizontal="center" vertical="top" wrapText="1"/>
    </xf>
    <xf numFmtId="0" fontId="51" fillId="0" borderId="65" xfId="0" applyFont="1" applyBorder="1" applyAlignment="1">
      <alignment horizontal="left" vertical="top" wrapText="1"/>
    </xf>
    <xf numFmtId="0" fontId="51" fillId="0" borderId="66" xfId="0" applyFont="1" applyBorder="1" applyAlignment="1">
      <alignment vertical="top" wrapText="1"/>
    </xf>
    <xf numFmtId="0" fontId="49" fillId="0" borderId="64" xfId="0" applyFont="1" applyBorder="1" applyAlignment="1">
      <alignment vertical="top" wrapText="1"/>
    </xf>
    <xf numFmtId="0" fontId="51" fillId="0" borderId="65" xfId="0" applyFont="1" applyFill="1" applyBorder="1" applyAlignment="1">
      <alignment horizontal="left" vertical="top" wrapText="1"/>
    </xf>
    <xf numFmtId="0" fontId="51" fillId="0" borderId="64" xfId="0" applyFont="1" applyFill="1" applyBorder="1" applyAlignment="1">
      <alignment horizontal="center" vertical="top" wrapText="1"/>
    </xf>
    <xf numFmtId="0" fontId="51" fillId="0" borderId="67" xfId="0" applyFont="1" applyBorder="1" applyAlignment="1">
      <alignment vertical="top" wrapText="1"/>
    </xf>
    <xf numFmtId="0" fontId="51" fillId="0" borderId="63" xfId="0" applyFont="1" applyBorder="1" applyAlignment="1">
      <alignment horizontal="center" vertical="top" wrapText="1"/>
    </xf>
    <xf numFmtId="0" fontId="51" fillId="0" borderId="68" xfId="0" applyFont="1" applyBorder="1" applyAlignment="1">
      <alignment horizontal="left" vertical="top" wrapText="1"/>
    </xf>
    <xf numFmtId="0" fontId="51" fillId="0" borderId="68" xfId="0" applyFont="1" applyFill="1" applyBorder="1" applyAlignment="1">
      <alignment horizontal="left" vertical="top" wrapText="1"/>
    </xf>
    <xf numFmtId="0" fontId="51" fillId="0" borderId="63" xfId="0" applyFont="1" applyBorder="1" applyAlignment="1">
      <alignment horizontal="left" vertical="top" wrapText="1"/>
    </xf>
    <xf numFmtId="0" fontId="51" fillId="0" borderId="63" xfId="0" applyFont="1" applyBorder="1" applyAlignment="1">
      <alignment vertical="top"/>
    </xf>
    <xf numFmtId="0" fontId="51" fillId="0" borderId="63" xfId="0" applyFont="1" applyBorder="1" applyAlignment="1">
      <alignment horizontal="center" vertical="top"/>
    </xf>
    <xf numFmtId="0" fontId="51" fillId="0" borderId="67" xfId="0" applyFont="1" applyBorder="1" applyAlignment="1">
      <alignment vertical="top"/>
    </xf>
    <xf numFmtId="0" fontId="51" fillId="0" borderId="64" xfId="0" applyFont="1" applyBorder="1" applyAlignment="1">
      <alignment vertical="top"/>
    </xf>
    <xf numFmtId="0" fontId="51" fillId="0" borderId="64" xfId="0" applyFont="1" applyBorder="1" applyAlignment="1">
      <alignment horizontal="center" vertical="top"/>
    </xf>
    <xf numFmtId="0" fontId="51" fillId="0" borderId="64" xfId="0" applyFont="1" applyBorder="1" applyAlignment="1">
      <alignment horizontal="left" vertical="top" wrapText="1"/>
    </xf>
    <xf numFmtId="0" fontId="51" fillId="0" borderId="65" xfId="0" applyFont="1" applyBorder="1" applyAlignment="1">
      <alignment vertical="top" wrapText="1"/>
    </xf>
    <xf numFmtId="0" fontId="51" fillId="0" borderId="68" xfId="0" applyFont="1" applyBorder="1" applyAlignment="1">
      <alignment vertical="top" wrapText="1"/>
    </xf>
    <xf numFmtId="0" fontId="53" fillId="27" borderId="17" xfId="0" applyFont="1" applyFill="1" applyBorder="1" applyAlignment="1">
      <alignment horizontal="right" vertical="top" wrapText="1"/>
    </xf>
    <xf numFmtId="0" fontId="49" fillId="27" borderId="63" xfId="0" applyFont="1" applyFill="1" applyBorder="1" applyAlignment="1">
      <alignment vertical="top" wrapText="1"/>
    </xf>
    <xf numFmtId="0" fontId="51" fillId="27" borderId="63" xfId="0" applyFont="1" applyFill="1" applyBorder="1" applyAlignment="1">
      <alignment horizontal="left" vertical="top" wrapText="1"/>
    </xf>
    <xf numFmtId="0" fontId="51" fillId="27" borderId="63" xfId="0" applyFont="1" applyFill="1" applyBorder="1" applyAlignment="1">
      <alignment vertical="top"/>
    </xf>
    <xf numFmtId="0" fontId="51" fillId="27" borderId="63" xfId="0" applyFont="1" applyFill="1" applyBorder="1" applyAlignment="1">
      <alignment horizontal="center" vertical="top"/>
    </xf>
    <xf numFmtId="0" fontId="51" fillId="27" borderId="63" xfId="0" applyFont="1" applyFill="1" applyBorder="1" applyAlignment="1">
      <alignment vertical="top" wrapText="1"/>
    </xf>
    <xf numFmtId="0" fontId="51" fillId="27" borderId="68" xfId="0" applyFont="1" applyFill="1" applyBorder="1" applyAlignment="1">
      <alignment vertical="top" wrapText="1"/>
    </xf>
    <xf numFmtId="0" fontId="51" fillId="27" borderId="67" xfId="0" applyFont="1" applyFill="1" applyBorder="1" applyAlignment="1">
      <alignment vertical="top"/>
    </xf>
    <xf numFmtId="0" fontId="54" fillId="27" borderId="28" xfId="67" applyFont="1" applyFill="1" applyBorder="1" applyAlignment="1">
      <alignment horizontal="center" vertical="center" wrapText="1"/>
    </xf>
    <xf numFmtId="0" fontId="51" fillId="0" borderId="63" xfId="0" applyFont="1" applyBorder="1" applyAlignment="1">
      <alignment horizontal="center" vertical="center"/>
    </xf>
    <xf numFmtId="0" fontId="53" fillId="0" borderId="17" xfId="73" applyFont="1" applyFill="1" applyBorder="1" applyAlignment="1">
      <alignment horizontal="left" vertical="center" wrapText="1"/>
    </xf>
    <xf numFmtId="0" fontId="53" fillId="0" borderId="17" xfId="67" applyFont="1" applyFill="1" applyBorder="1" applyAlignment="1">
      <alignment vertical="top" wrapText="1"/>
    </xf>
    <xf numFmtId="0" fontId="53" fillId="0" borderId="17" xfId="0" applyFont="1" applyFill="1" applyBorder="1" applyAlignment="1">
      <alignment vertical="top" wrapText="1"/>
    </xf>
    <xf numFmtId="0" fontId="53" fillId="0" borderId="17" xfId="0" applyFont="1" applyFill="1" applyBorder="1" applyAlignment="1">
      <alignment horizontal="center" vertical="top" wrapText="1"/>
    </xf>
    <xf numFmtId="0" fontId="53" fillId="0" borderId="17" xfId="0" applyFont="1" applyFill="1" applyBorder="1" applyAlignment="1">
      <alignment horizontal="left" vertical="top" wrapText="1"/>
    </xf>
    <xf numFmtId="0" fontId="53" fillId="0" borderId="27" xfId="0" applyFont="1" applyFill="1" applyBorder="1" applyAlignment="1">
      <alignment horizontal="left" vertical="top" wrapText="1"/>
    </xf>
    <xf numFmtId="0" fontId="54" fillId="0" borderId="28" xfId="67" applyFont="1" applyFill="1" applyBorder="1" applyAlignment="1">
      <alignment horizontal="center" vertical="center" wrapText="1"/>
    </xf>
    <xf numFmtId="0" fontId="55" fillId="0" borderId="17" xfId="72" applyFont="1" applyFill="1" applyBorder="1" applyAlignment="1">
      <alignment vertical="top" wrapText="1"/>
    </xf>
    <xf numFmtId="0" fontId="53" fillId="0" borderId="17" xfId="73" applyFont="1" applyFill="1" applyBorder="1" applyAlignment="1">
      <alignment vertical="top" wrapText="1"/>
    </xf>
    <xf numFmtId="0" fontId="53" fillId="0" borderId="17" xfId="72" applyFont="1" applyFill="1" applyBorder="1" applyAlignment="1">
      <alignment vertical="top" wrapText="1"/>
    </xf>
    <xf numFmtId="0" fontId="53" fillId="0" borderId="28" xfId="67" applyFont="1" applyFill="1" applyBorder="1" applyAlignment="1">
      <alignment vertical="top" wrapText="1"/>
    </xf>
    <xf numFmtId="0" fontId="55" fillId="0" borderId="17" xfId="73" applyFont="1" applyFill="1" applyBorder="1" applyAlignment="1">
      <alignment horizontal="left" vertical="center" wrapText="1"/>
    </xf>
    <xf numFmtId="3" fontId="53" fillId="0" borderId="17" xfId="0" applyNumberFormat="1" applyFont="1" applyFill="1" applyBorder="1" applyAlignment="1">
      <alignment vertical="top" wrapText="1"/>
    </xf>
    <xf numFmtId="0" fontId="49" fillId="0" borderId="60" xfId="80" applyFont="1" applyFill="1" applyBorder="1" applyAlignment="1">
      <alignment vertical="top" wrapText="1"/>
    </xf>
    <xf numFmtId="0" fontId="51" fillId="0" borderId="61" xfId="80" applyFont="1" applyFill="1" applyBorder="1" applyAlignment="1">
      <alignment horizontal="left" vertical="top" wrapText="1"/>
    </xf>
    <xf numFmtId="0" fontId="51" fillId="0" borderId="62" xfId="80" applyFont="1" applyFill="1" applyBorder="1" applyAlignment="1">
      <alignment vertical="top" wrapText="1"/>
    </xf>
    <xf numFmtId="0" fontId="49" fillId="0" borderId="63" xfId="80" applyFont="1" applyFill="1" applyBorder="1" applyAlignment="1">
      <alignment vertical="top" wrapText="1"/>
    </xf>
    <xf numFmtId="0" fontId="51" fillId="0" borderId="63" xfId="80" applyFont="1" applyFill="1" applyBorder="1" applyAlignment="1">
      <alignment vertical="top" wrapText="1"/>
    </xf>
    <xf numFmtId="0" fontId="51" fillId="0" borderId="64" xfId="80" applyFont="1" applyFill="1" applyBorder="1" applyAlignment="1">
      <alignment horizontal="center" vertical="top" wrapText="1"/>
    </xf>
    <xf numFmtId="0" fontId="51" fillId="0" borderId="66" xfId="80" applyFont="1" applyFill="1" applyBorder="1" applyAlignment="1">
      <alignment vertical="top" wrapText="1"/>
    </xf>
    <xf numFmtId="0" fontId="49" fillId="0" borderId="64" xfId="80" applyFont="1" applyFill="1" applyBorder="1" applyAlignment="1">
      <alignment vertical="top" wrapText="1"/>
    </xf>
    <xf numFmtId="0" fontId="49" fillId="0" borderId="64" xfId="0" applyFont="1" applyFill="1" applyBorder="1" applyAlignment="1">
      <alignment vertical="top" wrapText="1"/>
    </xf>
    <xf numFmtId="0" fontId="51" fillId="0" borderId="64" xfId="0" applyFont="1" applyFill="1" applyBorder="1" applyAlignment="1">
      <alignment vertical="top" wrapText="1"/>
    </xf>
    <xf numFmtId="0" fontId="51" fillId="0" borderId="66" xfId="0" applyFont="1" applyFill="1" applyBorder="1" applyAlignment="1">
      <alignment vertical="top" wrapText="1"/>
    </xf>
    <xf numFmtId="0" fontId="49" fillId="0" borderId="63" xfId="0" applyFont="1" applyFill="1" applyBorder="1" applyAlignment="1">
      <alignment vertical="top" wrapText="1"/>
    </xf>
    <xf numFmtId="0" fontId="51" fillId="0" borderId="63" xfId="0" applyFont="1" applyFill="1" applyBorder="1" applyAlignment="1">
      <alignment vertical="top" wrapText="1"/>
    </xf>
    <xf numFmtId="0" fontId="51" fillId="0" borderId="67" xfId="0" applyFont="1" applyFill="1" applyBorder="1" applyAlignment="1">
      <alignment vertical="top" wrapText="1"/>
    </xf>
    <xf numFmtId="0" fontId="51" fillId="0" borderId="63" xfId="0" applyFont="1" applyFill="1" applyBorder="1" applyAlignment="1">
      <alignment horizontal="center" vertical="top" wrapText="1"/>
    </xf>
    <xf numFmtId="0" fontId="51" fillId="0" borderId="63" xfId="0" applyFont="1" applyFill="1" applyBorder="1" applyAlignment="1">
      <alignment horizontal="left" vertical="top" wrapText="1"/>
    </xf>
    <xf numFmtId="0" fontId="51" fillId="0" borderId="63" xfId="0" applyFont="1" applyFill="1" applyBorder="1" applyAlignment="1">
      <alignment vertical="top"/>
    </xf>
    <xf numFmtId="0" fontId="51" fillId="0" borderId="63" xfId="0" applyFont="1" applyFill="1" applyBorder="1" applyAlignment="1">
      <alignment horizontal="center" vertical="top"/>
    </xf>
    <xf numFmtId="0" fontId="51" fillId="0" borderId="67" xfId="0" applyFont="1" applyFill="1" applyBorder="1" applyAlignment="1">
      <alignment vertical="top"/>
    </xf>
    <xf numFmtId="0" fontId="51" fillId="0" borderId="64" xfId="0" applyFont="1" applyFill="1" applyBorder="1" applyAlignment="1">
      <alignment vertical="top"/>
    </xf>
    <xf numFmtId="0" fontId="51" fillId="0" borderId="64" xfId="0" applyFont="1" applyFill="1" applyBorder="1" applyAlignment="1">
      <alignment horizontal="center" vertical="top"/>
    </xf>
    <xf numFmtId="0" fontId="51" fillId="0" borderId="64" xfId="0" applyFont="1" applyFill="1" applyBorder="1" applyAlignment="1">
      <alignment horizontal="left" vertical="top" wrapText="1"/>
    </xf>
    <xf numFmtId="0" fontId="51" fillId="0" borderId="65" xfId="0" applyFont="1" applyFill="1" applyBorder="1" applyAlignment="1">
      <alignment vertical="top" wrapText="1"/>
    </xf>
    <xf numFmtId="0" fontId="51" fillId="0" borderId="68" xfId="0" applyFont="1" applyFill="1" applyBorder="1" applyAlignment="1">
      <alignment vertical="top" wrapText="1"/>
    </xf>
    <xf numFmtId="0" fontId="51" fillId="0" borderId="63" xfId="0" applyFont="1" applyFill="1" applyBorder="1" applyAlignment="1">
      <alignment horizontal="center" vertical="center"/>
    </xf>
    <xf numFmtId="0" fontId="51" fillId="0" borderId="69" xfId="0" applyFont="1" applyBorder="1" applyAlignment="1">
      <alignment horizontal="right" vertical="top" wrapText="1"/>
    </xf>
    <xf numFmtId="0" fontId="51" fillId="0" borderId="63" xfId="0" applyFont="1" applyBorder="1" applyAlignment="1">
      <alignment horizontal="right" vertical="top" wrapText="1"/>
    </xf>
    <xf numFmtId="0" fontId="51" fillId="0" borderId="67" xfId="0" applyFont="1" applyBorder="1" applyAlignment="1">
      <alignment horizontal="center" vertical="center" wrapText="1"/>
    </xf>
    <xf numFmtId="0" fontId="51" fillId="0" borderId="63" xfId="0" applyFont="1" applyBorder="1" applyAlignment="1">
      <alignment horizontal="left" vertical="center" wrapText="1"/>
    </xf>
    <xf numFmtId="0" fontId="52" fillId="0" borderId="67" xfId="0" applyFont="1" applyBorder="1" applyAlignment="1">
      <alignment horizontal="center" vertical="center" wrapText="1"/>
    </xf>
    <xf numFmtId="0" fontId="51" fillId="28" borderId="63" xfId="0" applyFont="1" applyFill="1" applyBorder="1" applyAlignment="1">
      <alignment horizontal="right" vertical="top" wrapText="1"/>
    </xf>
    <xf numFmtId="0" fontId="49" fillId="28" borderId="64" xfId="0" applyFont="1" applyFill="1" applyBorder="1" applyAlignment="1">
      <alignment vertical="top" wrapText="1"/>
    </xf>
    <xf numFmtId="0" fontId="51" fillId="28" borderId="64" xfId="0" applyFont="1" applyFill="1" applyBorder="1" applyAlignment="1">
      <alignment vertical="top" wrapText="1"/>
    </xf>
    <xf numFmtId="0" fontId="51" fillId="28" borderId="64" xfId="0" applyFont="1" applyFill="1" applyBorder="1" applyAlignment="1">
      <alignment horizontal="center" vertical="top" wrapText="1"/>
    </xf>
    <xf numFmtId="0" fontId="51" fillId="28" borderId="65" xfId="0" applyFont="1" applyFill="1" applyBorder="1" applyAlignment="1">
      <alignment horizontal="left" vertical="top" wrapText="1"/>
    </xf>
    <xf numFmtId="0" fontId="51" fillId="28" borderId="64" xfId="0" applyFont="1" applyFill="1" applyBorder="1" applyAlignment="1">
      <alignment horizontal="left" vertical="top" wrapText="1"/>
    </xf>
    <xf numFmtId="0" fontId="51" fillId="28" borderId="70" xfId="0" applyFont="1" applyFill="1" applyBorder="1" applyAlignment="1">
      <alignment vertical="top" wrapText="1"/>
    </xf>
    <xf numFmtId="0" fontId="51" fillId="28" borderId="67" xfId="0" applyFont="1" applyFill="1" applyBorder="1" applyAlignment="1">
      <alignment horizontal="center" vertical="center" wrapText="1"/>
    </xf>
    <xf numFmtId="0" fontId="52" fillId="28" borderId="67" xfId="0" applyFont="1" applyFill="1" applyBorder="1" applyAlignment="1">
      <alignment horizontal="center" vertical="center" wrapText="1"/>
    </xf>
    <xf numFmtId="0" fontId="49" fillId="0" borderId="63" xfId="0" applyFont="1" applyBorder="1" applyAlignment="1">
      <alignment horizontal="left" vertical="center" wrapText="1"/>
    </xf>
    <xf numFmtId="3" fontId="51" fillId="0" borderId="63" xfId="0" applyNumberFormat="1" applyFont="1" applyBorder="1" applyAlignment="1">
      <alignment vertical="top" wrapText="1"/>
    </xf>
    <xf numFmtId="0" fontId="51" fillId="29" borderId="63" xfId="0" applyFont="1" applyFill="1" applyBorder="1" applyAlignment="1">
      <alignment vertical="top" wrapText="1"/>
    </xf>
    <xf numFmtId="0" fontId="51" fillId="0" borderId="69" xfId="0" applyFont="1" applyFill="1" applyBorder="1" applyAlignment="1">
      <alignment horizontal="right" vertical="top" wrapText="1"/>
    </xf>
    <xf numFmtId="0" fontId="51" fillId="0" borderId="63" xfId="0" applyFont="1" applyFill="1" applyBorder="1" applyAlignment="1">
      <alignment horizontal="right" vertical="top" wrapText="1"/>
    </xf>
    <xf numFmtId="0" fontId="51" fillId="0" borderId="63" xfId="0" applyFont="1" applyFill="1" applyBorder="1" applyAlignment="1">
      <alignment horizontal="left" vertical="center" wrapText="1"/>
    </xf>
    <xf numFmtId="0" fontId="51" fillId="0" borderId="67" xfId="0" applyFont="1" applyFill="1" applyBorder="1" applyAlignment="1">
      <alignment horizontal="center" vertical="center" wrapText="1"/>
    </xf>
    <xf numFmtId="0" fontId="0" fillId="29" borderId="26" xfId="0" applyFont="1" applyFill="1" applyBorder="1" applyAlignment="1">
      <alignment horizontal="right" vertical="top" wrapText="1"/>
    </xf>
    <xf numFmtId="0" fontId="53" fillId="29" borderId="17" xfId="0" applyFont="1" applyFill="1" applyBorder="1" applyAlignment="1">
      <alignment horizontal="right" vertical="top" wrapText="1"/>
    </xf>
    <xf numFmtId="0" fontId="49" fillId="29" borderId="60" xfId="0" applyFont="1" applyFill="1" applyBorder="1" applyAlignment="1">
      <alignment vertical="top" wrapText="1"/>
    </xf>
    <xf numFmtId="0" fontId="51" fillId="29" borderId="60" xfId="0" applyFont="1" applyFill="1" applyBorder="1" applyAlignment="1">
      <alignment vertical="top" wrapText="1"/>
    </xf>
    <xf numFmtId="0" fontId="51" fillId="29" borderId="60" xfId="0" applyFont="1" applyFill="1" applyBorder="1" applyAlignment="1">
      <alignment horizontal="center" vertical="top" wrapText="1"/>
    </xf>
    <xf numFmtId="0" fontId="51" fillId="29" borderId="61" xfId="0" applyFont="1" applyFill="1" applyBorder="1" applyAlignment="1">
      <alignment horizontal="left" vertical="top" wrapText="1"/>
    </xf>
    <xf numFmtId="0" fontId="51" fillId="29" borderId="62" xfId="0" applyFont="1" applyFill="1" applyBorder="1" applyAlignment="1">
      <alignment vertical="top" wrapText="1"/>
    </xf>
    <xf numFmtId="0" fontId="0" fillId="29" borderId="28" xfId="67" applyFont="1" applyFill="1" applyBorder="1" applyAlignment="1">
      <alignment horizontal="center" vertical="center" wrapText="1"/>
    </xf>
    <xf numFmtId="0" fontId="49" fillId="29" borderId="63" xfId="0" applyFont="1" applyFill="1" applyBorder="1" applyAlignment="1">
      <alignment vertical="top" wrapText="1"/>
    </xf>
    <xf numFmtId="0" fontId="51" fillId="29" borderId="64" xfId="0" applyFont="1" applyFill="1" applyBorder="1" applyAlignment="1">
      <alignment vertical="top" wrapText="1"/>
    </xf>
    <xf numFmtId="0" fontId="51" fillId="29" borderId="64" xfId="0" applyFont="1" applyFill="1" applyBorder="1" applyAlignment="1">
      <alignment horizontal="center" vertical="top" wrapText="1"/>
    </xf>
    <xf numFmtId="0" fontId="51" fillId="29" borderId="65" xfId="0" applyFont="1" applyFill="1" applyBorder="1" applyAlignment="1">
      <alignment horizontal="left" vertical="top" wrapText="1"/>
    </xf>
    <xf numFmtId="0" fontId="51" fillId="29" borderId="66" xfId="0" applyFont="1" applyFill="1" applyBorder="1" applyAlignment="1">
      <alignment vertical="top" wrapText="1"/>
    </xf>
    <xf numFmtId="0" fontId="49" fillId="29" borderId="64" xfId="0" applyFont="1" applyFill="1" applyBorder="1" applyAlignment="1">
      <alignment vertical="top" wrapText="1"/>
    </xf>
    <xf numFmtId="0" fontId="49" fillId="29" borderId="63" xfId="80" applyFont="1" applyFill="1" applyBorder="1" applyAlignment="1">
      <alignment vertical="top" wrapText="1"/>
    </xf>
    <xf numFmtId="0" fontId="51" fillId="29" borderId="63" xfId="80" applyFont="1" applyFill="1" applyBorder="1" applyAlignment="1">
      <alignment vertical="top" wrapText="1"/>
    </xf>
    <xf numFmtId="0" fontId="51" fillId="29" borderId="64" xfId="80" applyFont="1" applyFill="1" applyBorder="1" applyAlignment="1">
      <alignment vertical="top" wrapText="1"/>
    </xf>
    <xf numFmtId="0" fontId="51" fillId="29" borderId="64" xfId="80" applyFont="1" applyFill="1" applyBorder="1" applyAlignment="1">
      <alignment horizontal="center" vertical="top" wrapText="1"/>
    </xf>
    <xf numFmtId="0" fontId="51" fillId="29" borderId="65" xfId="80" applyFont="1" applyFill="1" applyBorder="1" applyAlignment="1">
      <alignment horizontal="left" vertical="top" wrapText="1"/>
    </xf>
    <xf numFmtId="0" fontId="51" fillId="29" borderId="66" xfId="80" applyFont="1" applyFill="1" applyBorder="1" applyAlignment="1">
      <alignment vertical="top" wrapText="1"/>
    </xf>
    <xf numFmtId="0" fontId="49" fillId="29" borderId="64" xfId="80" applyFont="1" applyFill="1" applyBorder="1" applyAlignment="1">
      <alignment vertical="top" wrapText="1"/>
    </xf>
    <xf numFmtId="0" fontId="51" fillId="29" borderId="69" xfId="0" applyFont="1" applyFill="1" applyBorder="1" applyAlignment="1">
      <alignment horizontal="right" vertical="top" wrapText="1"/>
    </xf>
    <xf numFmtId="0" fontId="51" fillId="29" borderId="63" xfId="0" applyFont="1" applyFill="1" applyBorder="1" applyAlignment="1">
      <alignment horizontal="right" vertical="top" wrapText="1"/>
    </xf>
    <xf numFmtId="0" fontId="51" fillId="29" borderId="67" xfId="0" applyFont="1" applyFill="1" applyBorder="1" applyAlignment="1">
      <alignment horizontal="center" vertical="center" wrapText="1"/>
    </xf>
    <xf numFmtId="0" fontId="51" fillId="29" borderId="63" xfId="0" applyFont="1" applyFill="1" applyBorder="1" applyAlignment="1">
      <alignment horizontal="left" vertical="center" wrapText="1"/>
    </xf>
    <xf numFmtId="0" fontId="51" fillId="29" borderId="63" xfId="0" applyFont="1" applyFill="1" applyBorder="1" applyAlignment="1">
      <alignment horizontal="center" vertical="top" wrapText="1"/>
    </xf>
    <xf numFmtId="0" fontId="51" fillId="29" borderId="63" xfId="0" applyFont="1" applyFill="1" applyBorder="1" applyAlignment="1">
      <alignment horizontal="left" vertical="top" wrapText="1"/>
    </xf>
    <xf numFmtId="0" fontId="51" fillId="29" borderId="68" xfId="0" applyFont="1" applyFill="1" applyBorder="1" applyAlignment="1">
      <alignment horizontal="left" vertical="top" wrapText="1"/>
    </xf>
    <xf numFmtId="0" fontId="52" fillId="29" borderId="67" xfId="0" applyFont="1" applyFill="1" applyBorder="1" applyAlignment="1">
      <alignment horizontal="center" vertical="center" wrapText="1"/>
    </xf>
    <xf numFmtId="0" fontId="0" fillId="24" borderId="39" xfId="0" applyFont="1" applyFill="1" applyBorder="1" applyAlignment="1">
      <alignment horizontal="left" vertical="top"/>
    </xf>
    <xf numFmtId="0" fontId="0" fillId="24" borderId="2" xfId="0" applyFont="1" applyFill="1" applyBorder="1" applyAlignment="1">
      <alignment horizontal="left" vertical="top"/>
    </xf>
    <xf numFmtId="0" fontId="0" fillId="24" borderId="40" xfId="0" applyFont="1" applyFill="1" applyBorder="1" applyAlignment="1">
      <alignment horizontal="left" vertical="top"/>
    </xf>
    <xf numFmtId="0" fontId="47" fillId="0" borderId="53" xfId="47" applyFont="1" applyBorder="1" applyAlignment="1" applyProtection="1"/>
    <xf numFmtId="0" fontId="47" fillId="0" borderId="2" xfId="47" applyFont="1" applyBorder="1" applyAlignment="1" applyProtection="1"/>
    <xf numFmtId="0" fontId="47" fillId="0" borderId="21" xfId="47" applyFont="1" applyBorder="1" applyAlignment="1" applyProtection="1"/>
    <xf numFmtId="0" fontId="0" fillId="24" borderId="36" xfId="0" applyFont="1" applyFill="1" applyBorder="1" applyAlignment="1">
      <alignment horizontal="left" vertical="top"/>
    </xf>
    <xf numFmtId="0" fontId="0" fillId="24" borderId="37" xfId="0" applyFont="1" applyFill="1" applyBorder="1" applyAlignment="1">
      <alignment horizontal="left" vertical="top"/>
    </xf>
    <xf numFmtId="0" fontId="0" fillId="24" borderId="38" xfId="0" applyFont="1" applyFill="1" applyBorder="1" applyAlignment="1">
      <alignment horizontal="left" vertical="top"/>
    </xf>
    <xf numFmtId="0" fontId="0" fillId="24" borderId="52" xfId="0" applyFont="1" applyFill="1" applyBorder="1" applyAlignment="1">
      <alignment vertical="top"/>
    </xf>
    <xf numFmtId="0" fontId="0" fillId="24" borderId="37" xfId="0" applyFont="1" applyFill="1" applyBorder="1" applyAlignment="1">
      <alignment vertical="top"/>
    </xf>
    <xf numFmtId="0" fontId="0" fillId="24" borderId="38" xfId="0" applyFont="1" applyFill="1" applyBorder="1" applyAlignment="1">
      <alignment vertical="top"/>
    </xf>
    <xf numFmtId="49" fontId="0" fillId="0" borderId="54" xfId="0" applyNumberFormat="1" applyFont="1" applyFill="1" applyBorder="1" applyAlignment="1">
      <alignment horizontal="center" vertical="top"/>
    </xf>
    <xf numFmtId="49" fontId="0" fillId="0" borderId="37" xfId="0" applyNumberFormat="1" applyFont="1" applyFill="1" applyBorder="1" applyAlignment="1">
      <alignment horizontal="center" vertical="top"/>
    </xf>
    <xf numFmtId="49" fontId="0" fillId="0" borderId="55" xfId="0" applyNumberFormat="1" applyFont="1" applyFill="1" applyBorder="1" applyAlignment="1">
      <alignment horizontal="center" vertical="top"/>
    </xf>
    <xf numFmtId="0" fontId="0" fillId="26" borderId="53" xfId="0" applyFont="1" applyFill="1" applyBorder="1" applyAlignment="1">
      <alignment vertical="top" wrapText="1"/>
    </xf>
    <xf numFmtId="0" fontId="0" fillId="26" borderId="2" xfId="0" applyFont="1" applyFill="1" applyBorder="1" applyAlignment="1">
      <alignment vertical="top" wrapText="1"/>
    </xf>
    <xf numFmtId="0" fontId="0" fillId="26" borderId="21" xfId="0" applyFont="1" applyFill="1" applyBorder="1" applyAlignment="1">
      <alignment vertical="top" wrapText="1"/>
    </xf>
    <xf numFmtId="176" fontId="0" fillId="26" borderId="53" xfId="0" applyNumberFormat="1" applyFont="1" applyFill="1" applyBorder="1" applyAlignment="1">
      <alignment horizontal="left" vertical="top" wrapText="1"/>
    </xf>
    <xf numFmtId="176" fontId="0" fillId="26" borderId="2" xfId="0" applyNumberFormat="1" applyFont="1" applyFill="1" applyBorder="1" applyAlignment="1">
      <alignment horizontal="left" vertical="top" wrapText="1"/>
    </xf>
    <xf numFmtId="176" fontId="0" fillId="26" borderId="40" xfId="0" applyNumberFormat="1" applyFont="1" applyFill="1" applyBorder="1" applyAlignment="1">
      <alignment horizontal="left" vertical="top" wrapText="1"/>
    </xf>
    <xf numFmtId="0" fontId="2" fillId="0" borderId="22" xfId="0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center" vertical="top"/>
    </xf>
    <xf numFmtId="0" fontId="2" fillId="0" borderId="21" xfId="0" applyFont="1" applyFill="1" applyBorder="1" applyAlignment="1">
      <alignment horizontal="center" vertical="top"/>
    </xf>
    <xf numFmtId="176" fontId="0" fillId="0" borderId="22" xfId="0" applyNumberFormat="1" applyFont="1" applyFill="1" applyBorder="1" applyAlignment="1">
      <alignment horizontal="left" vertical="top" wrapText="1"/>
    </xf>
    <xf numFmtId="176" fontId="0" fillId="0" borderId="2" xfId="0" applyNumberFormat="1" applyFont="1" applyFill="1" applyBorder="1" applyAlignment="1">
      <alignment horizontal="left" vertical="top" wrapText="1"/>
    </xf>
    <xf numFmtId="176" fontId="0" fillId="0" borderId="21" xfId="0" applyNumberFormat="1" applyFont="1" applyFill="1" applyBorder="1" applyAlignment="1">
      <alignment horizontal="left" vertical="top" wrapText="1"/>
    </xf>
    <xf numFmtId="0" fontId="0" fillId="24" borderId="41" xfId="0" applyFont="1" applyFill="1" applyBorder="1" applyAlignment="1">
      <alignment horizontal="left" vertical="top"/>
    </xf>
    <xf numFmtId="0" fontId="0" fillId="24" borderId="42" xfId="0" applyFont="1" applyFill="1" applyBorder="1" applyAlignment="1">
      <alignment horizontal="left" vertical="top"/>
    </xf>
    <xf numFmtId="0" fontId="0" fillId="24" borderId="43" xfId="0" applyFont="1" applyFill="1" applyBorder="1" applyAlignment="1">
      <alignment horizontal="left" vertical="top"/>
    </xf>
    <xf numFmtId="0" fontId="0" fillId="0" borderId="56" xfId="0" applyFont="1" applyFill="1" applyBorder="1" applyAlignment="1">
      <alignment vertical="top" wrapText="1"/>
    </xf>
    <xf numFmtId="0" fontId="0" fillId="0" borderId="42" xfId="0" applyFont="1" applyFill="1" applyBorder="1" applyAlignment="1">
      <alignment vertical="top" wrapText="1"/>
    </xf>
    <xf numFmtId="0" fontId="0" fillId="0" borderId="57" xfId="0" applyFont="1" applyFill="1" applyBorder="1" applyAlignment="1">
      <alignment vertical="top" wrapText="1"/>
    </xf>
    <xf numFmtId="0" fontId="0" fillId="25" borderId="33" xfId="0" applyFont="1" applyFill="1" applyBorder="1" applyAlignment="1">
      <alignment horizontal="center" vertical="top"/>
    </xf>
    <xf numFmtId="0" fontId="0" fillId="25" borderId="34" xfId="0" applyFont="1" applyFill="1" applyBorder="1" applyAlignment="1">
      <alignment horizontal="center" vertical="top"/>
    </xf>
    <xf numFmtId="0" fontId="0" fillId="25" borderId="35" xfId="0" applyFont="1" applyFill="1" applyBorder="1" applyAlignment="1">
      <alignment horizontal="center" vertical="top"/>
    </xf>
    <xf numFmtId="0" fontId="0" fillId="25" borderId="44" xfId="0" applyFont="1" applyFill="1" applyBorder="1" applyAlignment="1">
      <alignment horizontal="center" vertical="center"/>
    </xf>
    <xf numFmtId="0" fontId="0" fillId="25" borderId="15" xfId="0" applyFont="1" applyFill="1" applyBorder="1" applyAlignment="1">
      <alignment horizontal="center" vertical="center"/>
    </xf>
    <xf numFmtId="0" fontId="0" fillId="25" borderId="45" xfId="0" applyFont="1" applyFill="1" applyBorder="1" applyAlignment="1">
      <alignment horizontal="center" vertical="center"/>
    </xf>
    <xf numFmtId="0" fontId="0" fillId="25" borderId="44" xfId="0" applyFont="1" applyFill="1" applyBorder="1" applyAlignment="1">
      <alignment horizontal="center" vertical="center" wrapText="1"/>
    </xf>
    <xf numFmtId="0" fontId="0" fillId="25" borderId="15" xfId="0" applyFont="1" applyFill="1" applyBorder="1" applyAlignment="1">
      <alignment horizontal="center" vertical="center" wrapText="1"/>
    </xf>
    <xf numFmtId="0" fontId="0" fillId="25" borderId="45" xfId="0" applyFont="1" applyFill="1" applyBorder="1" applyAlignment="1">
      <alignment horizontal="center" vertical="center" wrapText="1"/>
    </xf>
    <xf numFmtId="0" fontId="0" fillId="24" borderId="49" xfId="0" applyFont="1" applyFill="1" applyBorder="1" applyAlignment="1">
      <alignment horizontal="center"/>
    </xf>
    <xf numFmtId="0" fontId="0" fillId="0" borderId="50" xfId="0" applyFont="1" applyBorder="1" applyAlignment="1"/>
    <xf numFmtId="0" fontId="0" fillId="0" borderId="51" xfId="0" applyFont="1" applyBorder="1" applyAlignment="1"/>
    <xf numFmtId="0" fontId="0" fillId="24" borderId="46" xfId="0" applyFont="1" applyFill="1" applyBorder="1" applyAlignment="1">
      <alignment horizontal="center" vertical="center" wrapText="1"/>
    </xf>
    <xf numFmtId="0" fontId="0" fillId="24" borderId="47" xfId="0" applyFont="1" applyFill="1" applyBorder="1" applyAlignment="1">
      <alignment horizontal="center" vertical="center"/>
    </xf>
    <xf numFmtId="0" fontId="0" fillId="24" borderId="48" xfId="0" applyFont="1" applyFill="1" applyBorder="1" applyAlignment="1">
      <alignment horizontal="center" vertical="center"/>
    </xf>
    <xf numFmtId="0" fontId="0" fillId="24" borderId="44" xfId="0" applyFont="1" applyFill="1" applyBorder="1" applyAlignment="1">
      <alignment horizontal="center" vertical="center" wrapText="1"/>
    </xf>
    <xf numFmtId="0" fontId="0" fillId="24" borderId="15" xfId="0" applyFont="1" applyFill="1" applyBorder="1" applyAlignment="1">
      <alignment horizontal="center" vertical="center"/>
    </xf>
    <xf numFmtId="0" fontId="0" fillId="24" borderId="45" xfId="0" applyFont="1" applyFill="1" applyBorder="1" applyAlignment="1">
      <alignment horizontal="center" vertical="center"/>
    </xf>
    <xf numFmtId="0" fontId="0" fillId="24" borderId="44" xfId="0" applyFont="1" applyFill="1" applyBorder="1" applyAlignment="1">
      <alignment horizontal="center" vertical="center"/>
    </xf>
    <xf numFmtId="0" fontId="0" fillId="24" borderId="46" xfId="0" applyFont="1" applyFill="1" applyBorder="1" applyAlignment="1">
      <alignment horizontal="center" vertical="center"/>
    </xf>
  </cellXfs>
  <cellStyles count="81">
    <cellStyle name="0,0_x000d__x000a_NA_x000d__x000a_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Calc Currency (0)" xfId="20" xr:uid="{00000000-0005-0000-0000-000013000000}"/>
    <cellStyle name="entry" xfId="21" xr:uid="{00000000-0005-0000-0000-000014000000}"/>
    <cellStyle name="Header1" xfId="22" xr:uid="{00000000-0005-0000-0000-000015000000}"/>
    <cellStyle name="Header2" xfId="23" xr:uid="{00000000-0005-0000-0000-000016000000}"/>
    <cellStyle name="JT帳票" xfId="24" xr:uid="{00000000-0005-0000-0000-000017000000}"/>
    <cellStyle name="Normal_#18-Internet" xfId="25" xr:uid="{00000000-0005-0000-0000-000018000000}"/>
    <cellStyle name="price" xfId="26" xr:uid="{00000000-0005-0000-0000-000019000000}"/>
    <cellStyle name="PSChar" xfId="27" xr:uid="{00000000-0005-0000-0000-00001A000000}"/>
    <cellStyle name="PSHeading" xfId="28" xr:uid="{00000000-0005-0000-0000-00001B000000}"/>
    <cellStyle name="revised" xfId="29" xr:uid="{00000000-0005-0000-0000-00001C000000}"/>
    <cellStyle name="section" xfId="30" xr:uid="{00000000-0005-0000-0000-00001D000000}"/>
    <cellStyle name="Text - Level 2" xfId="31" xr:uid="{00000000-0005-0000-0000-00001E000000}"/>
    <cellStyle name="Text - Level 3" xfId="32" xr:uid="{00000000-0005-0000-0000-00001F000000}"/>
    <cellStyle name="Text - Level 4" xfId="33" xr:uid="{00000000-0005-0000-0000-000020000000}"/>
    <cellStyle name="Text - Level 5" xfId="34" xr:uid="{00000000-0005-0000-0000-000021000000}"/>
    <cellStyle name="title" xfId="35" xr:uid="{00000000-0005-0000-0000-000022000000}"/>
    <cellStyle name="アクセント 1" xfId="36" builtinId="29" customBuiltin="1"/>
    <cellStyle name="アクセント 1 2" xfId="37" xr:uid="{00000000-0005-0000-0000-000024000000}"/>
    <cellStyle name="アクセント 2" xfId="38" builtinId="33" customBuiltin="1"/>
    <cellStyle name="アクセント 3" xfId="39" builtinId="37" customBuiltin="1"/>
    <cellStyle name="アクセント 4" xfId="40" builtinId="41" customBuiltin="1"/>
    <cellStyle name="アクセント 5" xfId="41" builtinId="45" customBuiltin="1"/>
    <cellStyle name="アクセント 6" xfId="42" builtinId="49" customBuiltin="1"/>
    <cellStyle name="タイトル" xfId="43" builtinId="15" customBuiltin="1"/>
    <cellStyle name="チェック セル" xfId="44" builtinId="23" customBuiltin="1"/>
    <cellStyle name="どちらでもない" xfId="45" builtinId="28" customBuiltin="1"/>
    <cellStyle name="パーセント 2" xfId="46" xr:uid="{00000000-0005-0000-0000-00002D000000}"/>
    <cellStyle name="ハイパーリンク" xfId="47" builtinId="8"/>
    <cellStyle name="ハイパーリンク 2" xfId="48" xr:uid="{00000000-0005-0000-0000-00002F000000}"/>
    <cellStyle name="メモ" xfId="49" builtinId="10" customBuiltin="1"/>
    <cellStyle name="リンク セル" xfId="50" builtinId="24" customBuiltin="1"/>
    <cellStyle name="悪い" xfId="51" builtinId="27" customBuiltin="1"/>
    <cellStyle name="計算" xfId="52" builtinId="22" customBuiltin="1"/>
    <cellStyle name="警告文" xfId="53" builtinId="11" customBuiltin="1"/>
    <cellStyle name="桁区切り" xfId="79" builtinId="6"/>
    <cellStyle name="見出し 1" xfId="54" builtinId="16" customBuiltin="1"/>
    <cellStyle name="見出し 2" xfId="55" builtinId="17" customBuiltin="1"/>
    <cellStyle name="見出し 3" xfId="56" builtinId="18" customBuiltin="1"/>
    <cellStyle name="見出し 4" xfId="57" builtinId="19" customBuiltin="1"/>
    <cellStyle name="集計" xfId="58" builtinId="25" customBuiltin="1"/>
    <cellStyle name="出力" xfId="59" builtinId="21" customBuiltin="1"/>
    <cellStyle name="人月" xfId="60" xr:uid="{00000000-0005-0000-0000-00003C000000}"/>
    <cellStyle name="説明文" xfId="61" builtinId="53" customBuiltin="1"/>
    <cellStyle name="入力" xfId="62" builtinId="20" customBuiltin="1"/>
    <cellStyle name="標準" xfId="0" builtinId="0"/>
    <cellStyle name="標準 2" xfId="63" xr:uid="{00000000-0005-0000-0000-000040000000}"/>
    <cellStyle name="標準 2 2" xfId="64" xr:uid="{00000000-0005-0000-0000-000041000000}"/>
    <cellStyle name="標準 2 2 2 2" xfId="65" xr:uid="{00000000-0005-0000-0000-000042000000}"/>
    <cellStyle name="標準 2_【CBO】機能一覧" xfId="66" xr:uid="{00000000-0005-0000-0000-000043000000}"/>
    <cellStyle name="標準 2_DB設計（内向け）" xfId="67" xr:uid="{00000000-0005-0000-0000-000044000000}"/>
    <cellStyle name="標準 3" xfId="68" xr:uid="{00000000-0005-0000-0000-000045000000}"/>
    <cellStyle name="標準 4" xfId="69" xr:uid="{00000000-0005-0000-0000-000046000000}"/>
    <cellStyle name="標準 5" xfId="70" xr:uid="{00000000-0005-0000-0000-000047000000}"/>
    <cellStyle name="標準 6" xfId="71" xr:uid="{00000000-0005-0000-0000-000048000000}"/>
    <cellStyle name="標準 7" xfId="80" xr:uid="{00000000-0005-0000-0000-000049000000}"/>
    <cellStyle name="標準_FEMTOテーブル定義書【機器・設置場所情報】_0414" xfId="72" xr:uid="{00000000-0005-0000-0000-00004A000000}"/>
    <cellStyle name="標準_FEMTOテーブル定義書【申込情報】_0414" xfId="73" xr:uid="{00000000-0005-0000-0000-00004B000000}"/>
    <cellStyle name="標準１０P" xfId="74" xr:uid="{00000000-0005-0000-0000-00004C000000}"/>
    <cellStyle name="表ヘッダ14" xfId="75" xr:uid="{00000000-0005-0000-0000-00004D000000}"/>
    <cellStyle name="表題" xfId="76" xr:uid="{00000000-0005-0000-0000-00004E000000}"/>
    <cellStyle name="無" xfId="77" xr:uid="{00000000-0005-0000-0000-00004F000000}"/>
    <cellStyle name="良い" xfId="78" builtinId="26" customBuiltin="1"/>
  </cellStyles>
  <dxfs count="670"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strike/>
      </font>
      <fill>
        <patternFill patternType="solid">
          <fgColor rgb="FFD8D8D8"/>
          <bgColor rgb="FFD8D8D8"/>
        </patternFill>
      </fill>
    </dxf>
    <dxf>
      <font>
        <i/>
      </font>
      <fill>
        <patternFill patternType="solid">
          <fgColor rgb="FFCCFFFF"/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CC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CCFFCC"/>
      <color rgb="FFFF9966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7620</xdr:rowOff>
        </xdr:from>
        <xdr:to>
          <xdr:col>0</xdr:col>
          <xdr:colOff>1325880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DDL作成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7</xdr:row>
          <xdr:rowOff>7620</xdr:rowOff>
        </xdr:from>
        <xdr:to>
          <xdr:col>0</xdr:col>
          <xdr:colOff>1325880</xdr:colOff>
          <xdr:row>9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容量計算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117</xdr:row>
      <xdr:rowOff>0</xdr:rowOff>
    </xdr:from>
    <xdr:to>
      <xdr:col>32</xdr:col>
      <xdr:colOff>0</xdr:colOff>
      <xdr:row>117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876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117</xdr:row>
      <xdr:rowOff>0</xdr:rowOff>
    </xdr:from>
    <xdr:to>
      <xdr:col>32</xdr:col>
      <xdr:colOff>0</xdr:colOff>
      <xdr:row>117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20863560" y="17876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117</xdr:row>
      <xdr:rowOff>0</xdr:rowOff>
    </xdr:from>
    <xdr:to>
      <xdr:col>32</xdr:col>
      <xdr:colOff>0</xdr:colOff>
      <xdr:row>117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876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117</xdr:row>
      <xdr:rowOff>0</xdr:rowOff>
    </xdr:from>
    <xdr:to>
      <xdr:col>32</xdr:col>
      <xdr:colOff>0</xdr:colOff>
      <xdr:row>117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20863560" y="17876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 flipV="1">
          <a:off x="210159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210159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ShapeType="1"/>
        </xdr:cNvSpPr>
      </xdr:nvSpPr>
      <xdr:spPr bwMode="auto">
        <a:xfrm flipV="1">
          <a:off x="210159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ShapeType="1"/>
        </xdr:cNvSpPr>
      </xdr:nvSpPr>
      <xdr:spPr bwMode="auto">
        <a:xfrm>
          <a:off x="210159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126</xdr:row>
      <xdr:rowOff>0</xdr:rowOff>
    </xdr:from>
    <xdr:to>
      <xdr:col>32</xdr:col>
      <xdr:colOff>0</xdr:colOff>
      <xdr:row>126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 flipV="1"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126</xdr:row>
      <xdr:rowOff>0</xdr:rowOff>
    </xdr:from>
    <xdr:to>
      <xdr:col>32</xdr:col>
      <xdr:colOff>0</xdr:colOff>
      <xdr:row>126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126</xdr:row>
      <xdr:rowOff>0</xdr:rowOff>
    </xdr:from>
    <xdr:to>
      <xdr:col>32</xdr:col>
      <xdr:colOff>0</xdr:colOff>
      <xdr:row>126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ShapeType="1"/>
        </xdr:cNvSpPr>
      </xdr:nvSpPr>
      <xdr:spPr bwMode="auto">
        <a:xfrm flipV="1"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126</xdr:row>
      <xdr:rowOff>0</xdr:rowOff>
    </xdr:from>
    <xdr:to>
      <xdr:col>32</xdr:col>
      <xdr:colOff>0</xdr:colOff>
      <xdr:row>126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ShapeType="1"/>
        </xdr:cNvSpPr>
      </xdr:nvSpPr>
      <xdr:spPr bwMode="auto">
        <a:xfrm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96</xdr:row>
      <xdr:rowOff>0</xdr:rowOff>
    </xdr:from>
    <xdr:to>
      <xdr:col>32</xdr:col>
      <xdr:colOff>0</xdr:colOff>
      <xdr:row>96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 flipV="1"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96</xdr:row>
      <xdr:rowOff>0</xdr:rowOff>
    </xdr:from>
    <xdr:to>
      <xdr:col>32</xdr:col>
      <xdr:colOff>0</xdr:colOff>
      <xdr:row>96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ShapeType="1"/>
        </xdr:cNvSpPr>
      </xdr:nvSpPr>
      <xdr:spPr bwMode="auto">
        <a:xfrm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96</xdr:row>
      <xdr:rowOff>0</xdr:rowOff>
    </xdr:from>
    <xdr:to>
      <xdr:col>32</xdr:col>
      <xdr:colOff>0</xdr:colOff>
      <xdr:row>96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ShapeType="1"/>
        </xdr:cNvSpPr>
      </xdr:nvSpPr>
      <xdr:spPr bwMode="auto">
        <a:xfrm flipV="1"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96</xdr:row>
      <xdr:rowOff>0</xdr:rowOff>
    </xdr:from>
    <xdr:to>
      <xdr:col>32</xdr:col>
      <xdr:colOff>0</xdr:colOff>
      <xdr:row>96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ShapeType="1"/>
        </xdr:cNvSpPr>
      </xdr:nvSpPr>
      <xdr:spPr bwMode="auto">
        <a:xfrm>
          <a:off x="21099780" y="192481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ShapeType="1"/>
        </xdr:cNvSpPr>
      </xdr:nvSpPr>
      <xdr:spPr bwMode="auto">
        <a:xfrm flipV="1">
          <a:off x="20831175" y="17430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ShapeType="1"/>
        </xdr:cNvSpPr>
      </xdr:nvSpPr>
      <xdr:spPr bwMode="auto">
        <a:xfrm>
          <a:off x="20831175" y="17430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ShapeType="1"/>
        </xdr:cNvSpPr>
      </xdr:nvSpPr>
      <xdr:spPr bwMode="auto">
        <a:xfrm flipV="1">
          <a:off x="20831175" y="17430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ShapeType="1"/>
        </xdr:cNvSpPr>
      </xdr:nvSpPr>
      <xdr:spPr bwMode="auto">
        <a:xfrm>
          <a:off x="20831175" y="17430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114</xdr:row>
      <xdr:rowOff>0</xdr:rowOff>
    </xdr:from>
    <xdr:to>
      <xdr:col>32</xdr:col>
      <xdr:colOff>0</xdr:colOff>
      <xdr:row>114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ShapeType="1"/>
        </xdr:cNvSpPr>
      </xdr:nvSpPr>
      <xdr:spPr bwMode="auto">
        <a:xfrm>
          <a:off x="20863560" y="174193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ShapeType="1"/>
        </xdr:cNvSpPr>
      </xdr:nvSpPr>
      <xdr:spPr bwMode="auto">
        <a:xfrm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ShapeType="1"/>
        </xdr:cNvSpPr>
      </xdr:nvSpPr>
      <xdr:spPr bwMode="auto">
        <a:xfrm flipV="1"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ShapeType="1"/>
        </xdr:cNvSpPr>
      </xdr:nvSpPr>
      <xdr:spPr bwMode="auto">
        <a:xfrm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ShapeType="1"/>
        </xdr:cNvSpPr>
      </xdr:nvSpPr>
      <xdr:spPr bwMode="auto">
        <a:xfrm flipV="1"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115</xdr:row>
      <xdr:rowOff>0</xdr:rowOff>
    </xdr:from>
    <xdr:to>
      <xdr:col>32</xdr:col>
      <xdr:colOff>0</xdr:colOff>
      <xdr:row>115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ShapeType="1"/>
        </xdr:cNvSpPr>
      </xdr:nvSpPr>
      <xdr:spPr bwMode="auto">
        <a:xfrm>
          <a:off x="20863560" y="175717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F14"/>
  <sheetViews>
    <sheetView tabSelected="1" workbookViewId="0">
      <selection activeCell="A6" sqref="A6"/>
    </sheetView>
  </sheetViews>
  <sheetFormatPr defaultColWidth="9" defaultRowHeight="12"/>
  <cols>
    <col min="1" max="1" width="26" bestFit="1" customWidth="1"/>
    <col min="2" max="2" width="21.5546875" bestFit="1" customWidth="1"/>
    <col min="3" max="3" width="3.88671875" customWidth="1"/>
    <col min="4" max="4" width="15.88671875" customWidth="1"/>
    <col min="5" max="5" width="11.88671875" bestFit="1" customWidth="1"/>
    <col min="6" max="6" width="69.88671875" bestFit="1" customWidth="1"/>
  </cols>
  <sheetData>
    <row r="2" spans="1:6">
      <c r="B2" s="44" t="s">
        <v>40</v>
      </c>
      <c r="D2" s="44" t="s">
        <v>41</v>
      </c>
      <c r="E2" s="44" t="s">
        <v>43</v>
      </c>
      <c r="F2" s="44" t="s">
        <v>42</v>
      </c>
    </row>
    <row r="3" spans="1:6">
      <c r="B3" s="45" t="s">
        <v>44</v>
      </c>
    </row>
    <row r="4" spans="1:6" ht="12" customHeight="1">
      <c r="B4" s="45" t="s">
        <v>49</v>
      </c>
    </row>
    <row r="5" spans="1:6">
      <c r="A5" s="46" t="s">
        <v>55</v>
      </c>
      <c r="B5" s="45" t="s">
        <v>62</v>
      </c>
    </row>
    <row r="6" spans="1:6">
      <c r="A6" s="45" t="s">
        <v>523</v>
      </c>
    </row>
    <row r="11" spans="1:6">
      <c r="B11" s="53"/>
      <c r="C11" s="53"/>
    </row>
    <row r="12" spans="1:6">
      <c r="B12" s="53"/>
      <c r="C12" s="53"/>
    </row>
    <row r="13" spans="1:6">
      <c r="B13" s="53"/>
      <c r="C13" s="53"/>
    </row>
    <row r="14" spans="1:6">
      <c r="B14" s="53"/>
      <c r="C14" s="53"/>
    </row>
  </sheetData>
  <phoneticPr fontId="4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DDL">
                <anchor moveWithCells="1" sizeWithCells="1">
                  <from>
                    <xdr:col>0</xdr:col>
                    <xdr:colOff>114300</xdr:colOff>
                    <xdr:row>1</xdr:row>
                    <xdr:rowOff>7620</xdr:rowOff>
                  </from>
                  <to>
                    <xdr:col>0</xdr:col>
                    <xdr:colOff>1325880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alculateSheet">
                <anchor moveWithCells="1" sizeWithCells="1">
                  <from>
                    <xdr:col>0</xdr:col>
                    <xdr:colOff>114300</xdr:colOff>
                    <xdr:row>7</xdr:row>
                    <xdr:rowOff>7620</xdr:rowOff>
                  </from>
                  <to>
                    <xdr:col>0</xdr:col>
                    <xdr:colOff>1325880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pageSetUpPr fitToPage="1"/>
  </sheetPr>
  <dimension ref="A1:AG193"/>
  <sheetViews>
    <sheetView showGridLines="0" zoomScale="120" zoomScaleNormal="120" zoomScaleSheetLayoutView="100" workbookViewId="0">
      <selection activeCell="D26" sqref="D26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281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283</v>
      </c>
      <c r="B3" s="235"/>
      <c r="C3" s="236"/>
      <c r="D3" s="57" t="s">
        <v>93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/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284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100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92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288</v>
      </c>
      <c r="F9" s="276" t="s">
        <v>290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293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24">
        <f t="shared" ref="B12:B75" si="0">ROW()-11</f>
        <v>1</v>
      </c>
      <c r="C12" s="91" t="s">
        <v>80</v>
      </c>
      <c r="D12" s="92" t="s">
        <v>81</v>
      </c>
      <c r="E12" s="92">
        <v>1</v>
      </c>
      <c r="F12" s="92"/>
      <c r="G12" s="93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74</v>
      </c>
      <c r="W12" s="95"/>
      <c r="X12" s="92"/>
      <c r="Y12" s="96"/>
      <c r="Z12" s="96"/>
      <c r="AA12" s="97" t="s">
        <v>81</v>
      </c>
      <c r="AB12" s="40"/>
      <c r="AC12" s="40"/>
      <c r="AD12" s="27"/>
      <c r="AE12" s="27"/>
      <c r="AG12" s="4"/>
    </row>
    <row r="13" spans="1:33" s="21" customFormat="1">
      <c r="A13" s="25"/>
      <c r="B13" s="24">
        <f t="shared" si="0"/>
        <v>2</v>
      </c>
      <c r="C13" s="98" t="s">
        <v>82</v>
      </c>
      <c r="D13" s="99" t="s">
        <v>77</v>
      </c>
      <c r="E13" s="100"/>
      <c r="F13" s="100"/>
      <c r="G13" s="101"/>
      <c r="H13" s="101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2"/>
      <c r="V13" s="100" t="s">
        <v>33</v>
      </c>
      <c r="W13" s="100">
        <v>256</v>
      </c>
      <c r="X13" s="100"/>
      <c r="Y13" s="103"/>
      <c r="Z13" s="104">
        <v>3</v>
      </c>
      <c r="AA13" s="105" t="s">
        <v>83</v>
      </c>
      <c r="AB13" s="40"/>
      <c r="AC13" s="40"/>
      <c r="AD13" s="42" t="s">
        <v>296</v>
      </c>
      <c r="AE13" s="33" t="s">
        <v>53</v>
      </c>
      <c r="AG13" s="4"/>
    </row>
    <row r="14" spans="1:33" s="21" customFormat="1">
      <c r="A14" s="25"/>
      <c r="B14" s="24">
        <f t="shared" si="0"/>
        <v>3</v>
      </c>
      <c r="C14" s="106" t="s">
        <v>84</v>
      </c>
      <c r="D14" s="100" t="s">
        <v>85</v>
      </c>
      <c r="E14" s="100"/>
      <c r="F14" s="100"/>
      <c r="G14" s="101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2"/>
      <c r="V14" s="100" t="s">
        <v>33</v>
      </c>
      <c r="W14" s="100">
        <v>50</v>
      </c>
      <c r="X14" s="100"/>
      <c r="Y14" s="103"/>
      <c r="Z14" s="104">
        <v>3</v>
      </c>
      <c r="AA14" s="105" t="s">
        <v>86</v>
      </c>
      <c r="AB14" s="40"/>
      <c r="AC14" s="40"/>
      <c r="AD14" s="27"/>
      <c r="AE14" s="33" t="s">
        <v>75</v>
      </c>
      <c r="AF14" s="4"/>
      <c r="AG14" s="4"/>
    </row>
    <row r="15" spans="1:33" s="21" customFormat="1">
      <c r="A15" s="25"/>
      <c r="B15" s="24">
        <f t="shared" si="0"/>
        <v>4</v>
      </c>
      <c r="C15" s="106" t="s">
        <v>68</v>
      </c>
      <c r="D15" s="100" t="s">
        <v>87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2" t="s">
        <v>27</v>
      </c>
      <c r="V15" s="100" t="s">
        <v>28</v>
      </c>
      <c r="W15" s="100">
        <v>1</v>
      </c>
      <c r="X15" s="100"/>
      <c r="Y15" s="103"/>
      <c r="Z15" s="103"/>
      <c r="AA15" s="105" t="s">
        <v>87</v>
      </c>
      <c r="AB15" s="40"/>
      <c r="AC15" s="40"/>
      <c r="AD15" s="27"/>
      <c r="AE15" s="33" t="s">
        <v>76</v>
      </c>
      <c r="AF15" s="4"/>
      <c r="AG15" s="4"/>
    </row>
    <row r="16" spans="1:33" s="21" customFormat="1">
      <c r="A16" s="25"/>
      <c r="B16" s="24">
        <f t="shared" si="0"/>
        <v>5</v>
      </c>
      <c r="C16" s="98" t="s">
        <v>69</v>
      </c>
      <c r="D16" s="99" t="s">
        <v>88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2" t="s">
        <v>27</v>
      </c>
      <c r="V16" s="100" t="s">
        <v>29</v>
      </c>
      <c r="W16" s="107"/>
      <c r="X16" s="100"/>
      <c r="Y16" s="103"/>
      <c r="Z16" s="103"/>
      <c r="AA16" s="105" t="s">
        <v>88</v>
      </c>
      <c r="AB16" s="40"/>
      <c r="AC16" s="40"/>
      <c r="AD16" s="23"/>
      <c r="AE16" s="33" t="s">
        <v>297</v>
      </c>
      <c r="AF16" s="4"/>
      <c r="AG16" s="4"/>
    </row>
    <row r="17" spans="1:33" s="21" customFormat="1">
      <c r="A17" s="25"/>
      <c r="B17" s="24">
        <f t="shared" si="0"/>
        <v>6</v>
      </c>
      <c r="C17" s="98" t="s">
        <v>70</v>
      </c>
      <c r="D17" s="99" t="s">
        <v>89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2" t="s">
        <v>27</v>
      </c>
      <c r="V17" s="100" t="s">
        <v>33</v>
      </c>
      <c r="W17" s="100">
        <v>20</v>
      </c>
      <c r="X17" s="100"/>
      <c r="Y17" s="103"/>
      <c r="Z17" s="104">
        <v>15</v>
      </c>
      <c r="AA17" s="105" t="s">
        <v>89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24">
        <f t="shared" si="0"/>
        <v>7</v>
      </c>
      <c r="C18" s="106" t="s">
        <v>71</v>
      </c>
      <c r="D18" s="100" t="s">
        <v>90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2" t="s">
        <v>27</v>
      </c>
      <c r="V18" s="100" t="s">
        <v>29</v>
      </c>
      <c r="W18" s="107"/>
      <c r="X18" s="100"/>
      <c r="Y18" s="103"/>
      <c r="Z18" s="103"/>
      <c r="AA18" s="105" t="s">
        <v>90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24">
        <f t="shared" si="0"/>
        <v>8</v>
      </c>
      <c r="C19" s="106" t="s">
        <v>72</v>
      </c>
      <c r="D19" s="100" t="s">
        <v>91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2" t="s">
        <v>27</v>
      </c>
      <c r="V19" s="100" t="s">
        <v>33</v>
      </c>
      <c r="W19" s="100">
        <v>20</v>
      </c>
      <c r="X19" s="100"/>
      <c r="Y19" s="103"/>
      <c r="Z19" s="104">
        <v>15</v>
      </c>
      <c r="AA19" s="105" t="s">
        <v>91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24">
        <f t="shared" si="0"/>
        <v>9</v>
      </c>
      <c r="C20" s="106" t="s">
        <v>73</v>
      </c>
      <c r="D20" s="100" t="s">
        <v>78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2" t="s">
        <v>27</v>
      </c>
      <c r="V20" s="100" t="s">
        <v>74</v>
      </c>
      <c r="W20" s="107"/>
      <c r="X20" s="100"/>
      <c r="Y20" s="103"/>
      <c r="Z20" s="103"/>
      <c r="AA20" s="105" t="s">
        <v>78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24">
        <f t="shared" si="0"/>
        <v>10</v>
      </c>
      <c r="C21" s="15"/>
      <c r="D21" s="13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7"/>
      <c r="V21" s="34"/>
      <c r="W21" s="18"/>
      <c r="X21" s="16"/>
      <c r="Y21" s="19"/>
      <c r="Z21" s="19"/>
      <c r="AA21" s="20"/>
      <c r="AB21" s="40"/>
      <c r="AC21" s="40"/>
      <c r="AD21" s="27"/>
      <c r="AE21" s="27"/>
      <c r="AF21" s="4"/>
      <c r="AG21" s="4"/>
    </row>
    <row r="22" spans="1:33" s="21" customFormat="1">
      <c r="A22" s="25"/>
      <c r="B22" s="24">
        <f t="shared" si="0"/>
        <v>11</v>
      </c>
      <c r="C22" s="15"/>
      <c r="D22" s="13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7"/>
      <c r="V22" s="12"/>
      <c r="W22" s="18"/>
      <c r="X22" s="16"/>
      <c r="Y22" s="19"/>
      <c r="Z22" s="19"/>
      <c r="AA22" s="20"/>
      <c r="AB22" s="40"/>
      <c r="AC22" s="40"/>
      <c r="AD22" s="27"/>
      <c r="AE22" s="27"/>
      <c r="AF22" s="4"/>
      <c r="AG22" s="4"/>
    </row>
    <row r="23" spans="1:33" s="21" customFormat="1">
      <c r="A23" s="25"/>
      <c r="B23" s="24">
        <f t="shared" si="0"/>
        <v>12</v>
      </c>
      <c r="C23" s="15"/>
      <c r="D23" s="13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7"/>
      <c r="V23" s="12"/>
      <c r="W23" s="18"/>
      <c r="X23" s="16"/>
      <c r="Y23" s="19"/>
      <c r="Z23" s="19"/>
      <c r="AA23" s="20"/>
      <c r="AB23" s="40"/>
      <c r="AC23" s="40"/>
      <c r="AD23" s="27"/>
      <c r="AE23" s="27"/>
      <c r="AF23" s="4"/>
      <c r="AG23" s="4"/>
    </row>
    <row r="24" spans="1:33" s="21" customFormat="1">
      <c r="A24" s="25"/>
      <c r="B24" s="24">
        <f t="shared" si="0"/>
        <v>13</v>
      </c>
      <c r="C24" s="15"/>
      <c r="D24" s="13"/>
      <c r="E24" s="16"/>
      <c r="F24" s="16"/>
      <c r="G24" s="2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7"/>
      <c r="V24" s="12"/>
      <c r="W24" s="18"/>
      <c r="X24" s="16"/>
      <c r="Y24" s="19"/>
      <c r="Z24" s="19"/>
      <c r="AA24" s="20"/>
      <c r="AB24" s="40"/>
      <c r="AC24" s="40"/>
      <c r="AD24" s="23"/>
      <c r="AE24" s="23"/>
      <c r="AF24" s="4"/>
      <c r="AG24" s="4"/>
    </row>
    <row r="25" spans="1:33" s="21" customFormat="1">
      <c r="A25" s="25"/>
      <c r="B25" s="24">
        <f t="shared" si="0"/>
        <v>14</v>
      </c>
      <c r="C25" s="15"/>
      <c r="D25" s="5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59"/>
      <c r="V25" s="34"/>
      <c r="W25" s="68"/>
      <c r="X25" s="26"/>
      <c r="Y25" s="35"/>
      <c r="Z25" s="35"/>
      <c r="AA25" s="43"/>
      <c r="AB25" s="40"/>
      <c r="AC25" s="40"/>
      <c r="AD25" s="23"/>
      <c r="AE25" s="23"/>
      <c r="AF25" s="4"/>
      <c r="AG25" s="4"/>
    </row>
    <row r="26" spans="1:33" s="21" customFormat="1">
      <c r="A26" s="25"/>
      <c r="B26" s="24">
        <f t="shared" si="0"/>
        <v>15</v>
      </c>
      <c r="C26" s="15"/>
      <c r="D26" s="5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59"/>
      <c r="V26" s="34"/>
      <c r="W26" s="68"/>
      <c r="X26" s="26"/>
      <c r="Y26" s="35"/>
      <c r="Z26" s="35"/>
      <c r="AA26" s="43"/>
      <c r="AB26" s="40"/>
      <c r="AC26" s="40"/>
      <c r="AD26" s="23"/>
      <c r="AE26" s="23"/>
      <c r="AF26" s="4"/>
      <c r="AG26" s="4"/>
    </row>
    <row r="27" spans="1:33" s="21" customFormat="1">
      <c r="A27" s="25"/>
      <c r="B27" s="24">
        <f t="shared" si="0"/>
        <v>16</v>
      </c>
      <c r="C27" s="15"/>
      <c r="D27" s="5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59"/>
      <c r="V27" s="34"/>
      <c r="W27" s="68"/>
      <c r="X27" s="26"/>
      <c r="Y27" s="35"/>
      <c r="Z27" s="35"/>
      <c r="AA27" s="43"/>
      <c r="AB27" s="40"/>
      <c r="AC27" s="40"/>
      <c r="AD27" s="23"/>
      <c r="AE27" s="23"/>
      <c r="AF27" s="4"/>
      <c r="AG27" s="4"/>
    </row>
    <row r="28" spans="1:33" s="21" customFormat="1">
      <c r="A28" s="25"/>
      <c r="B28" s="24">
        <f t="shared" si="0"/>
        <v>17</v>
      </c>
      <c r="C28" s="15"/>
      <c r="D28" s="5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59"/>
      <c r="V28" s="34"/>
      <c r="W28" s="68"/>
      <c r="X28" s="26"/>
      <c r="Y28" s="35"/>
      <c r="Z28" s="35"/>
      <c r="AA28" s="43"/>
      <c r="AB28" s="40"/>
      <c r="AC28" s="40"/>
      <c r="AD28" s="23"/>
      <c r="AE28" s="23"/>
      <c r="AF28" s="4"/>
      <c r="AG28" s="4"/>
    </row>
    <row r="29" spans="1:33" s="21" customFormat="1">
      <c r="A29" s="25"/>
      <c r="B29" s="24">
        <f t="shared" si="0"/>
        <v>18</v>
      </c>
      <c r="C29" s="15"/>
      <c r="D29" s="5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59"/>
      <c r="V29" s="34"/>
      <c r="W29" s="68"/>
      <c r="X29" s="26"/>
      <c r="Y29" s="35"/>
      <c r="Z29" s="35"/>
      <c r="AA29" s="43"/>
      <c r="AB29" s="40"/>
      <c r="AC29" s="40"/>
      <c r="AD29" s="23"/>
      <c r="AE29" s="23"/>
      <c r="AF29" s="4"/>
      <c r="AG29" s="4"/>
    </row>
    <row r="30" spans="1:33" s="21" customFormat="1">
      <c r="A30" s="25"/>
      <c r="B30" s="24">
        <f t="shared" si="0"/>
        <v>19</v>
      </c>
      <c r="C30" s="15"/>
      <c r="D30" s="5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59"/>
      <c r="V30" s="34"/>
      <c r="W30" s="68"/>
      <c r="X30" s="26"/>
      <c r="Y30" s="35"/>
      <c r="Z30" s="35"/>
      <c r="AA30" s="43"/>
      <c r="AB30" s="40"/>
      <c r="AC30" s="40"/>
      <c r="AD30" s="23"/>
      <c r="AE30" s="23"/>
      <c r="AF30" s="4"/>
      <c r="AG30" s="4"/>
    </row>
    <row r="31" spans="1:33" s="21" customFormat="1">
      <c r="A31" s="25"/>
      <c r="B31" s="24">
        <f t="shared" si="0"/>
        <v>20</v>
      </c>
      <c r="C31" s="15"/>
      <c r="D31" s="5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59"/>
      <c r="V31" s="34"/>
      <c r="W31" s="68"/>
      <c r="X31" s="26"/>
      <c r="Y31" s="35"/>
      <c r="Z31" s="35"/>
      <c r="AA31" s="43"/>
      <c r="AB31" s="40"/>
      <c r="AC31" s="40"/>
      <c r="AD31" s="23"/>
      <c r="AE31" s="23"/>
      <c r="AF31" s="4"/>
      <c r="AG31" s="4"/>
    </row>
    <row r="32" spans="1:33" s="21" customFormat="1">
      <c r="A32" s="25"/>
      <c r="B32" s="24">
        <f t="shared" si="0"/>
        <v>21</v>
      </c>
      <c r="C32" s="15"/>
      <c r="D32" s="5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59"/>
      <c r="V32" s="34"/>
      <c r="W32" s="68"/>
      <c r="X32" s="26"/>
      <c r="Y32" s="35"/>
      <c r="Z32" s="35"/>
      <c r="AA32" s="43"/>
      <c r="AB32" s="40"/>
      <c r="AC32" s="40"/>
      <c r="AD32" s="23"/>
      <c r="AE32" s="23"/>
      <c r="AF32" s="4"/>
      <c r="AG32" s="4"/>
    </row>
    <row r="33" spans="1:33" s="21" customFormat="1">
      <c r="A33" s="25"/>
      <c r="B33" s="24">
        <f t="shared" si="0"/>
        <v>22</v>
      </c>
      <c r="C33" s="15"/>
      <c r="D33" s="5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59"/>
      <c r="V33" s="34"/>
      <c r="W33" s="68"/>
      <c r="X33" s="26"/>
      <c r="Y33" s="35"/>
      <c r="Z33" s="35"/>
      <c r="AA33" s="43"/>
      <c r="AB33" s="40"/>
      <c r="AC33" s="40"/>
      <c r="AD33" s="23"/>
      <c r="AE33" s="23"/>
      <c r="AF33" s="4"/>
      <c r="AG33" s="4"/>
    </row>
    <row r="34" spans="1:33" s="21" customFormat="1">
      <c r="A34" s="25"/>
      <c r="B34" s="24">
        <f t="shared" si="0"/>
        <v>23</v>
      </c>
      <c r="C34" s="15"/>
      <c r="D34" s="5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59"/>
      <c r="V34" s="34"/>
      <c r="W34" s="68"/>
      <c r="X34" s="26"/>
      <c r="Y34" s="35"/>
      <c r="Z34" s="35"/>
      <c r="AA34" s="43"/>
      <c r="AB34" s="40"/>
      <c r="AC34" s="40"/>
      <c r="AD34" s="23"/>
      <c r="AE34" s="23"/>
      <c r="AF34" s="4"/>
      <c r="AG34" s="4"/>
    </row>
    <row r="35" spans="1:33" s="21" customFormat="1">
      <c r="A35" s="25"/>
      <c r="B35" s="24">
        <f t="shared" si="0"/>
        <v>24</v>
      </c>
      <c r="C35" s="15"/>
      <c r="D35" s="5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59"/>
      <c r="V35" s="34"/>
      <c r="W35" s="68"/>
      <c r="X35" s="26"/>
      <c r="Y35" s="35"/>
      <c r="Z35" s="35"/>
      <c r="AA35" s="43"/>
      <c r="AB35" s="40"/>
      <c r="AC35" s="40"/>
      <c r="AD35" s="23"/>
      <c r="AE35" s="23"/>
      <c r="AF35" s="4"/>
      <c r="AG35" s="4"/>
    </row>
    <row r="36" spans="1:33" s="21" customFormat="1">
      <c r="A36" s="25"/>
      <c r="B36" s="24">
        <f t="shared" si="0"/>
        <v>25</v>
      </c>
      <c r="C36" s="15"/>
      <c r="D36" s="5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59"/>
      <c r="V36" s="34"/>
      <c r="W36" s="68"/>
      <c r="X36" s="26"/>
      <c r="Y36" s="35"/>
      <c r="Z36" s="35"/>
      <c r="AA36" s="43"/>
      <c r="AB36" s="40"/>
      <c r="AC36" s="40"/>
      <c r="AD36" s="23"/>
      <c r="AE36" s="23"/>
      <c r="AF36" s="4"/>
      <c r="AG36" s="4"/>
    </row>
    <row r="37" spans="1:33" s="21" customFormat="1">
      <c r="A37" s="25"/>
      <c r="B37" s="24">
        <f t="shared" si="0"/>
        <v>26</v>
      </c>
      <c r="C37" s="15"/>
      <c r="D37" s="5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59"/>
      <c r="V37" s="34"/>
      <c r="W37" s="68"/>
      <c r="X37" s="26"/>
      <c r="Y37" s="35"/>
      <c r="Z37" s="35"/>
      <c r="AA37" s="43"/>
      <c r="AB37" s="40"/>
      <c r="AC37" s="40"/>
      <c r="AD37" s="23"/>
      <c r="AE37" s="23"/>
      <c r="AF37" s="4"/>
      <c r="AG37" s="4"/>
    </row>
    <row r="38" spans="1:33" s="21" customFormat="1">
      <c r="A38" s="25"/>
      <c r="B38" s="24">
        <f t="shared" si="0"/>
        <v>27</v>
      </c>
      <c r="C38" s="15"/>
      <c r="D38" s="5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59"/>
      <c r="V38" s="34"/>
      <c r="W38" s="68"/>
      <c r="X38" s="26"/>
      <c r="Y38" s="35"/>
      <c r="Z38" s="35"/>
      <c r="AA38" s="43"/>
      <c r="AB38" s="40"/>
      <c r="AC38" s="40"/>
      <c r="AD38" s="23"/>
      <c r="AE38" s="23"/>
      <c r="AF38" s="4"/>
      <c r="AG38" s="4"/>
    </row>
    <row r="39" spans="1:33" s="21" customFormat="1">
      <c r="A39" s="25"/>
      <c r="B39" s="24">
        <f t="shared" si="0"/>
        <v>28</v>
      </c>
      <c r="C39" s="15"/>
      <c r="D39" s="5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59"/>
      <c r="V39" s="34"/>
      <c r="W39" s="68"/>
      <c r="X39" s="26"/>
      <c r="Y39" s="35"/>
      <c r="Z39" s="35"/>
      <c r="AA39" s="43"/>
      <c r="AB39" s="40"/>
      <c r="AC39" s="40"/>
      <c r="AD39" s="23"/>
      <c r="AE39" s="23"/>
      <c r="AF39" s="4"/>
      <c r="AG39" s="4"/>
    </row>
    <row r="40" spans="1:33" s="21" customFormat="1">
      <c r="A40" s="25"/>
      <c r="B40" s="24">
        <f t="shared" si="0"/>
        <v>29</v>
      </c>
      <c r="C40" s="15"/>
      <c r="D40" s="5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59"/>
      <c r="V40" s="34"/>
      <c r="W40" s="68"/>
      <c r="X40" s="26"/>
      <c r="Y40" s="35"/>
      <c r="Z40" s="35"/>
      <c r="AA40" s="43"/>
      <c r="AB40" s="40"/>
      <c r="AC40" s="40"/>
      <c r="AD40" s="23"/>
      <c r="AE40" s="23"/>
      <c r="AF40" s="4"/>
      <c r="AG40" s="4"/>
    </row>
    <row r="41" spans="1:33" s="21" customFormat="1">
      <c r="A41" s="25"/>
      <c r="B41" s="24">
        <f t="shared" si="0"/>
        <v>30</v>
      </c>
      <c r="C41" s="15"/>
      <c r="D41" s="5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59"/>
      <c r="V41" s="34"/>
      <c r="W41" s="68"/>
      <c r="X41" s="26"/>
      <c r="Y41" s="35"/>
      <c r="Z41" s="35"/>
      <c r="AA41" s="43"/>
      <c r="AB41" s="40"/>
      <c r="AC41" s="40"/>
      <c r="AD41" s="23"/>
      <c r="AE41" s="23"/>
      <c r="AF41" s="4"/>
      <c r="AG41" s="4"/>
    </row>
    <row r="42" spans="1:33" s="21" customFormat="1">
      <c r="A42" s="25"/>
      <c r="B42" s="24">
        <f t="shared" si="0"/>
        <v>31</v>
      </c>
      <c r="C42" s="15"/>
      <c r="D42" s="5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59"/>
      <c r="V42" s="34"/>
      <c r="W42" s="68"/>
      <c r="X42" s="26"/>
      <c r="Y42" s="35"/>
      <c r="Z42" s="35"/>
      <c r="AA42" s="43"/>
      <c r="AB42" s="40"/>
      <c r="AC42" s="40"/>
      <c r="AD42" s="23"/>
      <c r="AE42" s="23"/>
      <c r="AF42" s="4"/>
      <c r="AG42" s="4"/>
    </row>
    <row r="43" spans="1:33" s="21" customFormat="1">
      <c r="A43" s="25"/>
      <c r="B43" s="24">
        <f t="shared" si="0"/>
        <v>32</v>
      </c>
      <c r="C43" s="15"/>
      <c r="D43" s="5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59"/>
      <c r="V43" s="34"/>
      <c r="W43" s="68"/>
      <c r="X43" s="26"/>
      <c r="Y43" s="35"/>
      <c r="Z43" s="35"/>
      <c r="AA43" s="43"/>
      <c r="AB43" s="40"/>
      <c r="AC43" s="40"/>
      <c r="AD43" s="23"/>
      <c r="AE43" s="23"/>
      <c r="AF43" s="4"/>
      <c r="AG43" s="4"/>
    </row>
    <row r="44" spans="1:33" s="21" customFormat="1">
      <c r="A44" s="25"/>
      <c r="B44" s="24">
        <f t="shared" si="0"/>
        <v>33</v>
      </c>
      <c r="C44" s="15"/>
      <c r="D44" s="5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59"/>
      <c r="V44" s="34"/>
      <c r="W44" s="70"/>
      <c r="X44" s="26"/>
      <c r="Y44" s="35"/>
      <c r="Z44" s="35"/>
      <c r="AA44" s="43"/>
      <c r="AB44" s="40"/>
      <c r="AC44" s="40"/>
      <c r="AD44" s="23"/>
      <c r="AE44" s="23"/>
      <c r="AF44" s="4"/>
      <c r="AG44" s="4"/>
    </row>
    <row r="45" spans="1:33" s="21" customFormat="1">
      <c r="A45" s="25"/>
      <c r="B45" s="24">
        <f t="shared" si="0"/>
        <v>34</v>
      </c>
      <c r="C45" s="15"/>
      <c r="D45" s="5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59"/>
      <c r="V45" s="34"/>
      <c r="W45" s="70"/>
      <c r="X45" s="26"/>
      <c r="Y45" s="35"/>
      <c r="Z45" s="35"/>
      <c r="AA45" s="43"/>
      <c r="AB45" s="40"/>
      <c r="AC45" s="40"/>
      <c r="AD45" s="23"/>
      <c r="AE45" s="23"/>
      <c r="AF45" s="4"/>
      <c r="AG45" s="4"/>
    </row>
    <row r="46" spans="1:33" s="21" customFormat="1">
      <c r="A46" s="25"/>
      <c r="B46" s="24">
        <f t="shared" si="0"/>
        <v>35</v>
      </c>
      <c r="C46" s="15"/>
      <c r="D46" s="5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59"/>
      <c r="V46" s="34"/>
      <c r="W46" s="70"/>
      <c r="X46" s="26"/>
      <c r="Y46" s="35"/>
      <c r="Z46" s="35"/>
      <c r="AA46" s="43"/>
      <c r="AB46" s="40"/>
      <c r="AC46" s="40"/>
      <c r="AD46" s="23"/>
      <c r="AE46" s="23"/>
      <c r="AF46" s="4"/>
      <c r="AG46" s="4"/>
    </row>
    <row r="47" spans="1:33" s="21" customFormat="1">
      <c r="A47" s="25"/>
      <c r="B47" s="24">
        <f t="shared" si="0"/>
        <v>36</v>
      </c>
      <c r="C47" s="15"/>
      <c r="D47" s="5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59"/>
      <c r="V47" s="34"/>
      <c r="W47" s="70"/>
      <c r="X47" s="26"/>
      <c r="Y47" s="35"/>
      <c r="Z47" s="35"/>
      <c r="AA47" s="43"/>
      <c r="AB47" s="40"/>
      <c r="AC47" s="40"/>
      <c r="AD47" s="23"/>
      <c r="AE47" s="23"/>
      <c r="AF47" s="4"/>
      <c r="AG47" s="4"/>
    </row>
    <row r="48" spans="1:33" s="21" customFormat="1">
      <c r="A48" s="25"/>
      <c r="B48" s="24">
        <f t="shared" si="0"/>
        <v>37</v>
      </c>
      <c r="C48" s="15"/>
      <c r="D48" s="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59"/>
      <c r="V48" s="34"/>
      <c r="W48" s="70"/>
      <c r="X48" s="26"/>
      <c r="Y48" s="35"/>
      <c r="Z48" s="35"/>
      <c r="AA48" s="43"/>
      <c r="AB48" s="40"/>
      <c r="AC48" s="40"/>
      <c r="AD48" s="23"/>
      <c r="AE48" s="23"/>
      <c r="AF48" s="4"/>
      <c r="AG48" s="4"/>
    </row>
    <row r="49" spans="1:33" s="21" customFormat="1">
      <c r="A49" s="25"/>
      <c r="B49" s="24">
        <f t="shared" si="0"/>
        <v>38</v>
      </c>
      <c r="C49" s="15"/>
      <c r="D49" s="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59"/>
      <c r="V49" s="26"/>
      <c r="W49" s="68"/>
      <c r="X49" s="26"/>
      <c r="Y49" s="35"/>
      <c r="Z49" s="35"/>
      <c r="AA49" s="43"/>
      <c r="AB49" s="40"/>
      <c r="AC49" s="40"/>
      <c r="AD49" s="23"/>
      <c r="AE49" s="23"/>
      <c r="AF49" s="4"/>
      <c r="AG49" s="4"/>
    </row>
    <row r="50" spans="1:33" s="21" customFormat="1">
      <c r="A50" s="25"/>
      <c r="B50" s="24">
        <f t="shared" si="0"/>
        <v>39</v>
      </c>
      <c r="C50" s="71"/>
      <c r="D50" s="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59"/>
      <c r="V50" s="26"/>
      <c r="W50" s="26"/>
      <c r="X50" s="26"/>
      <c r="Y50" s="35"/>
      <c r="Z50" s="35"/>
      <c r="AA50" s="43"/>
      <c r="AB50" s="40"/>
      <c r="AC50" s="40"/>
      <c r="AD50" s="23"/>
      <c r="AE50" s="23"/>
      <c r="AF50" s="4"/>
      <c r="AG50" s="4"/>
    </row>
    <row r="51" spans="1:33" s="21" customFormat="1">
      <c r="A51" s="25"/>
      <c r="B51" s="24">
        <f t="shared" si="0"/>
        <v>40</v>
      </c>
      <c r="C51" s="71"/>
      <c r="D51" s="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59"/>
      <c r="V51" s="72"/>
      <c r="W51" s="26"/>
      <c r="X51" s="26"/>
      <c r="Y51" s="35"/>
      <c r="Z51" s="35"/>
      <c r="AA51" s="43"/>
      <c r="AB51" s="40"/>
      <c r="AC51" s="40"/>
      <c r="AD51" s="23"/>
      <c r="AE51" s="23"/>
      <c r="AF51" s="4"/>
      <c r="AG51" s="4"/>
    </row>
    <row r="52" spans="1:33" s="21" customFormat="1">
      <c r="A52" s="25"/>
      <c r="B52" s="24">
        <f t="shared" si="0"/>
        <v>41</v>
      </c>
      <c r="C52" s="71"/>
      <c r="D52" s="5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59"/>
      <c r="V52" s="26"/>
      <c r="W52" s="26"/>
      <c r="X52" s="26"/>
      <c r="Y52" s="35"/>
      <c r="Z52" s="35"/>
      <c r="AA52" s="43"/>
      <c r="AB52" s="40"/>
      <c r="AC52" s="40"/>
      <c r="AD52" s="23"/>
      <c r="AE52" s="23"/>
      <c r="AF52" s="4"/>
      <c r="AG52" s="4"/>
    </row>
    <row r="53" spans="1:33" s="21" customFormat="1">
      <c r="A53" s="25"/>
      <c r="B53" s="24">
        <f t="shared" si="0"/>
        <v>42</v>
      </c>
      <c r="C53" s="71"/>
      <c r="D53" s="5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59"/>
      <c r="V53" s="72"/>
      <c r="W53" s="26"/>
      <c r="X53" s="26"/>
      <c r="Y53" s="35"/>
      <c r="Z53" s="35"/>
      <c r="AA53" s="43"/>
      <c r="AB53" s="40"/>
      <c r="AC53" s="40"/>
      <c r="AD53" s="23"/>
      <c r="AE53" s="23"/>
      <c r="AF53" s="4"/>
      <c r="AG53" s="4"/>
    </row>
    <row r="54" spans="1:33" s="21" customFormat="1">
      <c r="A54" s="25"/>
      <c r="B54" s="24">
        <f t="shared" si="0"/>
        <v>43</v>
      </c>
      <c r="C54" s="34"/>
      <c r="D54" s="5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59"/>
      <c r="V54" s="72"/>
      <c r="W54" s="68"/>
      <c r="X54" s="26"/>
      <c r="Y54" s="35"/>
      <c r="Z54" s="35"/>
      <c r="AA54" s="43"/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0"/>
        <v>44</v>
      </c>
      <c r="C55" s="34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68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0"/>
        <v>45</v>
      </c>
      <c r="C56" s="15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34"/>
      <c r="W56" s="70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26"/>
      <c r="W57" s="68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71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26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26:AC114 B12:B24 AB12:AC24">
    <cfRule type="expression" dxfId="669" priority="26">
      <formula>NOT(ISBLANK(INDIRECT("RC28",FALSE)))</formula>
    </cfRule>
  </conditionalFormatting>
  <conditionalFormatting sqref="C26:AC114 AB12:AC24">
    <cfRule type="expression" dxfId="668" priority="25" stopIfTrue="1">
      <formula>AND(ISBLANK(INDIRECT("RC2",FALSE)),NOT(ISBLANK(INDIRECT("RC3",FALSE))))</formula>
    </cfRule>
  </conditionalFormatting>
  <conditionalFormatting sqref="C21:AA24">
    <cfRule type="expression" dxfId="667" priority="24">
      <formula>NOT(ISBLANK(INDIRECT("RC28",FALSE)))</formula>
    </cfRule>
  </conditionalFormatting>
  <conditionalFormatting sqref="C21:AA24">
    <cfRule type="expression" dxfId="666" priority="23" stopIfTrue="1">
      <formula>AND(ISBLANK(INDIRECT("RC2",FALSE)),NOT(ISBLANK(INDIRECT("RC3",FALSE))))</formula>
    </cfRule>
  </conditionalFormatting>
  <conditionalFormatting sqref="B25 AB25:AC25">
    <cfRule type="expression" dxfId="665" priority="22">
      <formula>NOT(ISBLANK(INDIRECT("RC28",FALSE)))</formula>
    </cfRule>
  </conditionalFormatting>
  <conditionalFormatting sqref="AB25:AC25">
    <cfRule type="expression" dxfId="664" priority="21" stopIfTrue="1">
      <formula>AND(ISBLANK(INDIRECT("RC2",FALSE)),NOT(ISBLANK(INDIRECT("RC3",FALSE))))</formula>
    </cfRule>
  </conditionalFormatting>
  <conditionalFormatting sqref="C25:AA25">
    <cfRule type="expression" dxfId="663" priority="20">
      <formula>NOT(ISBLANK(INDIRECT("RC28",FALSE)))</formula>
    </cfRule>
  </conditionalFormatting>
  <conditionalFormatting sqref="C25:AA25">
    <cfRule type="expression" dxfId="662" priority="19" stopIfTrue="1">
      <formula>AND(ISBLANK(INDIRECT("RC2",FALSE)),NOT(ISBLANK(INDIRECT("RC3",FALSE))))</formula>
    </cfRule>
  </conditionalFormatting>
  <conditionalFormatting sqref="C12:AA12 E13:AA13 C14:AA14">
    <cfRule type="expression" dxfId="661" priority="15">
      <formula>NOT(ISBLANK(INDIRECT("RC28",FALSE)))</formula>
    </cfRule>
  </conditionalFormatting>
  <conditionalFormatting sqref="C12:AA12 E13:AA13 C14:AA14">
    <cfRule type="expression" dxfId="660" priority="16" stopIfTrue="1">
      <formula>AND(ISBLANK(INDIRECT("RC2",FALSE)),NOT(ISBLANK(INDIRECT("RC3",FALSE))))</formula>
    </cfRule>
  </conditionalFormatting>
  <conditionalFormatting sqref="C13:D13">
    <cfRule type="expression" dxfId="659" priority="17" stopIfTrue="1">
      <formula>AND(ISBLANK(INDIRECT("RC2",FALSE)),NOT(ISBLANK(INDIRECT("RC3",FALSE))))</formula>
    </cfRule>
  </conditionalFormatting>
  <conditionalFormatting sqref="C13:D13">
    <cfRule type="expression" dxfId="658" priority="18">
      <formula>NOT(ISBLANK(INDIRECT("RC28",FALSE)))</formula>
    </cfRule>
  </conditionalFormatting>
  <conditionalFormatting sqref="C15:AA20">
    <cfRule type="expression" dxfId="657" priority="1">
      <formula>NOT(ISBLANK(INDIRECT("RC28",FALSE)))</formula>
    </cfRule>
  </conditionalFormatting>
  <conditionalFormatting sqref="C15:AA20">
    <cfRule type="expression" dxfId="656" priority="2" stopIfTrue="1">
      <formula>AND(ISBLANK(INDIRECT("RC2",FALSE)),NOT(ISBLANK(INDIRECT("RC3",FALSE))))</formula>
    </cfRule>
  </conditionalFormatting>
  <conditionalFormatting sqref="E18:AA18 C19:AA19 V17">
    <cfRule type="expression" dxfId="655" priority="3">
      <formula>NOT(ISBLANK(INDIRECT("RC28",FALSE)))</formula>
    </cfRule>
  </conditionalFormatting>
  <conditionalFormatting sqref="E18:AA18 C19:AA19 V17">
    <cfRule type="expression" dxfId="654" priority="4" stopIfTrue="1">
      <formula>AND(ISBLANK(INDIRECT("RC2",FALSE)),NOT(ISBLANK(INDIRECT("RC3",FALSE))))</formula>
    </cfRule>
  </conditionalFormatting>
  <conditionalFormatting sqref="C18:D18">
    <cfRule type="expression" dxfId="653" priority="5" stopIfTrue="1">
      <formula>AND(ISBLANK(INDIRECT("RC2",FALSE)),NOT(ISBLANK(INDIRECT("RC3",FALSE))))</formula>
    </cfRule>
  </conditionalFormatting>
  <conditionalFormatting sqref="C18:D18">
    <cfRule type="expression" dxfId="652" priority="6">
      <formula>NOT(ISBLANK(INDIRECT("RC28",FALSE)))</formula>
    </cfRule>
  </conditionalFormatting>
  <conditionalFormatting sqref="C19:D19">
    <cfRule type="expression" dxfId="651" priority="7" stopIfTrue="1">
      <formula>AND(ISBLANK(INDIRECT("RC2",FALSE)),NOT(ISBLANK(INDIRECT("RC3",FALSE))))</formula>
    </cfRule>
  </conditionalFormatting>
  <conditionalFormatting sqref="C19:D19">
    <cfRule type="expression" dxfId="650" priority="8">
      <formula>NOT(ISBLANK(INDIRECT("RC28",FALSE)))</formula>
    </cfRule>
  </conditionalFormatting>
  <conditionalFormatting sqref="E16:AA16 V15 V17:V18 C17:U17 W17:AA17">
    <cfRule type="expression" dxfId="649" priority="9">
      <formula>NOT(ISBLANK(INDIRECT("RC28",FALSE)))</formula>
    </cfRule>
  </conditionalFormatting>
  <conditionalFormatting sqref="E16:AA16 C17:AA17 V15 V18">
    <cfRule type="expression" dxfId="648" priority="10" stopIfTrue="1">
      <formula>AND(ISBLANK(INDIRECT("RC2",FALSE)),NOT(ISBLANK(INDIRECT("RC3",FALSE))))</formula>
    </cfRule>
  </conditionalFormatting>
  <conditionalFormatting sqref="C16:D16">
    <cfRule type="expression" dxfId="647" priority="11" stopIfTrue="1">
      <formula>AND(ISBLANK(INDIRECT("RC2",FALSE)),NOT(ISBLANK(INDIRECT("RC3",FALSE))))</formula>
    </cfRule>
  </conditionalFormatting>
  <conditionalFormatting sqref="C16:D16">
    <cfRule type="expression" dxfId="646" priority="12">
      <formula>NOT(ISBLANK(INDIRECT("RC28",FALSE)))</formula>
    </cfRule>
  </conditionalFormatting>
  <conditionalFormatting sqref="C17:D17">
    <cfRule type="expression" dxfId="645" priority="13" stopIfTrue="1">
      <formula>AND(ISBLANK(INDIRECT("RC2",FALSE)),NOT(ISBLANK(INDIRECT("RC3",FALSE))))</formula>
    </cfRule>
  </conditionalFormatting>
  <conditionalFormatting sqref="C17:D17">
    <cfRule type="expression" dxfId="644" priority="14">
      <formula>NOT(ISBLANK(INDIRECT("RC28",FALSE)))</formula>
    </cfRule>
  </conditionalFormatting>
  <dataValidations count="6">
    <dataValidation type="list" allowBlank="1" showErrorMessage="1" sqref="V12:V20" xr:uid="{00000000-0002-0000-0100-000000000000}">
      <formula1>"TEXT,VARCHAR,CHAR,NUMERIC,integer,boolean,bytea,DATE(時刻無),TIMESTAMP"</formula1>
    </dataValidation>
    <dataValidation type="list" allowBlank="1" showErrorMessage="1" sqref="U12:U20" xr:uid="{00000000-0002-0000-0100-000001000000}">
      <formula1>"○"</formula1>
    </dataValidation>
    <dataValidation type="list" allowBlank="1" showInputMessage="1" showErrorMessage="1" sqref="AB12:AB114 J5:T5 U21:U114" xr:uid="{00000000-0002-0000-0100-000002000000}">
      <formula1>"○"</formula1>
    </dataValidation>
    <dataValidation type="list" allowBlank="1" showInputMessage="1" showErrorMessage="1" sqref="V21:V114" xr:uid="{00000000-0002-0000-0100-000003000000}">
      <formula1>"TEXT,VARCHAR,CHAR,NUMERIC,integer,boolean,bytea,DATE(時刻無),TIMESTAMP"</formula1>
    </dataValidation>
    <dataValidation type="list" allowBlank="1" showInputMessage="1" showErrorMessage="1" sqref="AC12:AC114" xr:uid="{00000000-0002-0000-0100-000004000000}">
      <formula1>"親,子"</formula1>
    </dataValidation>
    <dataValidation type="list" allowBlank="1" showInputMessage="1" showErrorMessage="1" sqref="F11:T11" xr:uid="{00000000-0002-0000-0100-000005000000}">
      <formula1>"IN,uIN,BR,uBR"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FFFF00"/>
    <pageSetUpPr fitToPage="1"/>
  </sheetPr>
  <dimension ref="A1:AG196"/>
  <sheetViews>
    <sheetView showGridLines="0" topLeftCell="A8" zoomScale="115" zoomScaleNormal="115" zoomScaleSheetLayoutView="100" workbookViewId="0">
      <selection activeCell="V12" sqref="V12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95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94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/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66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10000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96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05" t="s">
        <v>519</v>
      </c>
      <c r="B12" s="206">
        <f t="shared" ref="B12:B78" si="0">ROW()-11</f>
        <v>1</v>
      </c>
      <c r="C12" s="207" t="s">
        <v>299</v>
      </c>
      <c r="D12" s="208" t="s">
        <v>300</v>
      </c>
      <c r="E12" s="208">
        <v>1</v>
      </c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9" t="s">
        <v>27</v>
      </c>
      <c r="V12" s="208" t="s">
        <v>74</v>
      </c>
      <c r="W12" s="208"/>
      <c r="X12" s="208"/>
      <c r="Y12" s="210"/>
      <c r="Z12" s="210"/>
      <c r="AA12" s="211" t="s">
        <v>300</v>
      </c>
      <c r="AB12" s="212"/>
      <c r="AC12" s="212"/>
      <c r="AD12" s="27"/>
      <c r="AE12" s="27"/>
      <c r="AG12" s="4"/>
    </row>
    <row r="13" spans="1:33" s="21" customFormat="1">
      <c r="A13" s="205" t="s">
        <v>519</v>
      </c>
      <c r="B13" s="206">
        <f t="shared" si="0"/>
        <v>2</v>
      </c>
      <c r="C13" s="213" t="s">
        <v>97</v>
      </c>
      <c r="D13" s="200" t="s">
        <v>98</v>
      </c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5"/>
      <c r="V13" s="214" t="s">
        <v>33</v>
      </c>
      <c r="W13" s="214">
        <v>50</v>
      </c>
      <c r="X13" s="214"/>
      <c r="Y13" s="216"/>
      <c r="Z13" s="216">
        <v>25</v>
      </c>
      <c r="AA13" s="217" t="s">
        <v>98</v>
      </c>
      <c r="AB13" s="212"/>
      <c r="AC13" s="212"/>
      <c r="AD13" s="42" t="s">
        <v>296</v>
      </c>
      <c r="AE13" s="33" t="s">
        <v>53</v>
      </c>
      <c r="AG13" s="4"/>
    </row>
    <row r="14" spans="1:33" s="21" customFormat="1">
      <c r="A14" s="205" t="s">
        <v>519</v>
      </c>
      <c r="B14" s="206">
        <f t="shared" si="0"/>
        <v>3</v>
      </c>
      <c r="C14" s="218" t="s">
        <v>99</v>
      </c>
      <c r="D14" s="214" t="s">
        <v>100</v>
      </c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5"/>
      <c r="V14" s="214" t="s">
        <v>33</v>
      </c>
      <c r="W14" s="214">
        <v>100</v>
      </c>
      <c r="X14" s="214"/>
      <c r="Y14" s="216"/>
      <c r="Z14" s="216">
        <v>30</v>
      </c>
      <c r="AA14" s="217" t="s">
        <v>100</v>
      </c>
      <c r="AB14" s="212"/>
      <c r="AC14" s="212"/>
      <c r="AD14" s="27"/>
      <c r="AE14" s="33" t="s">
        <v>75</v>
      </c>
      <c r="AF14" s="4"/>
      <c r="AG14" s="4"/>
    </row>
    <row r="15" spans="1:33" s="21" customFormat="1">
      <c r="A15" s="205" t="s">
        <v>519</v>
      </c>
      <c r="B15" s="206">
        <f t="shared" si="0"/>
        <v>4</v>
      </c>
      <c r="C15" s="218" t="s">
        <v>101</v>
      </c>
      <c r="D15" s="214" t="s">
        <v>102</v>
      </c>
      <c r="E15" s="214"/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5"/>
      <c r="V15" s="214" t="s">
        <v>33</v>
      </c>
      <c r="W15" s="214">
        <v>50</v>
      </c>
      <c r="X15" s="214"/>
      <c r="Y15" s="216"/>
      <c r="Z15" s="216">
        <v>30</v>
      </c>
      <c r="AA15" s="217" t="s">
        <v>102</v>
      </c>
      <c r="AB15" s="212"/>
      <c r="AC15" s="212"/>
      <c r="AD15" s="27"/>
      <c r="AE15" s="33" t="s">
        <v>76</v>
      </c>
      <c r="AF15" s="4"/>
      <c r="AG15" s="4"/>
    </row>
    <row r="16" spans="1:33" s="21" customFormat="1">
      <c r="A16" s="25"/>
      <c r="B16" s="108">
        <f t="shared" si="0"/>
        <v>5</v>
      </c>
      <c r="C16" s="120" t="s">
        <v>301</v>
      </c>
      <c r="D16" s="116" t="s">
        <v>302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22"/>
      <c r="V16" s="116" t="s">
        <v>33</v>
      </c>
      <c r="W16" s="116">
        <v>4</v>
      </c>
      <c r="X16" s="116"/>
      <c r="Y16" s="118"/>
      <c r="Z16" s="121">
        <v>4</v>
      </c>
      <c r="AA16" s="119" t="s">
        <v>302</v>
      </c>
      <c r="AB16" s="40"/>
      <c r="AC16" s="40"/>
      <c r="AD16" s="23"/>
      <c r="AE16" s="33" t="s">
        <v>297</v>
      </c>
      <c r="AF16" s="4"/>
      <c r="AG16" s="4"/>
    </row>
    <row r="17" spans="1:33" s="21" customFormat="1">
      <c r="A17" s="25"/>
      <c r="B17" s="108">
        <f t="shared" si="0"/>
        <v>6</v>
      </c>
      <c r="C17" s="120" t="s">
        <v>303</v>
      </c>
      <c r="D17" s="116" t="s">
        <v>304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22"/>
      <c r="V17" s="116" t="s">
        <v>33</v>
      </c>
      <c r="W17" s="116">
        <v>2</v>
      </c>
      <c r="X17" s="116"/>
      <c r="Y17" s="118"/>
      <c r="Z17" s="121">
        <v>2</v>
      </c>
      <c r="AA17" s="119" t="s">
        <v>304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108">
        <f t="shared" si="0"/>
        <v>7</v>
      </c>
      <c r="C18" s="120" t="s">
        <v>305</v>
      </c>
      <c r="D18" s="116" t="s">
        <v>306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  <c r="V18" s="116" t="s">
        <v>103</v>
      </c>
      <c r="W18" s="116"/>
      <c r="X18" s="116"/>
      <c r="Y18" s="118"/>
      <c r="Z18" s="121">
        <v>100</v>
      </c>
      <c r="AA18" s="119" t="s">
        <v>306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108">
        <f t="shared" si="0"/>
        <v>8</v>
      </c>
      <c r="C19" s="114" t="s">
        <v>307</v>
      </c>
      <c r="D19" s="115" t="s">
        <v>308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7"/>
      <c r="V19" s="116" t="s">
        <v>103</v>
      </c>
      <c r="W19" s="116"/>
      <c r="X19" s="116"/>
      <c r="Y19" s="118"/>
      <c r="Z19" s="121">
        <v>200</v>
      </c>
      <c r="AA19" s="123" t="s">
        <v>308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108">
        <f t="shared" si="0"/>
        <v>9</v>
      </c>
      <c r="C20" s="120" t="s">
        <v>104</v>
      </c>
      <c r="D20" s="116" t="s">
        <v>105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7"/>
      <c r="V20" s="116" t="s">
        <v>106</v>
      </c>
      <c r="W20" s="116">
        <v>10</v>
      </c>
      <c r="X20" s="116">
        <v>5</v>
      </c>
      <c r="Y20" s="118"/>
      <c r="Z20" s="118"/>
      <c r="AA20" s="119" t="s">
        <v>105</v>
      </c>
      <c r="AB20" s="40"/>
      <c r="AC20" s="40"/>
      <c r="AD20" s="27"/>
      <c r="AE20" s="27"/>
      <c r="AF20" s="4"/>
      <c r="AG20" s="4"/>
    </row>
    <row r="21" spans="1:33" s="21" customFormat="1">
      <c r="A21" s="25"/>
      <c r="B21" s="108">
        <f t="shared" si="0"/>
        <v>10</v>
      </c>
      <c r="C21" s="120" t="s">
        <v>107</v>
      </c>
      <c r="D21" s="116" t="s">
        <v>108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7"/>
      <c r="V21" s="116" t="s">
        <v>106</v>
      </c>
      <c r="W21" s="116">
        <v>10</v>
      </c>
      <c r="X21" s="116">
        <v>5</v>
      </c>
      <c r="Y21" s="118"/>
      <c r="Z21" s="118"/>
      <c r="AA21" s="119" t="s">
        <v>108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108">
        <f t="shared" si="0"/>
        <v>11</v>
      </c>
      <c r="C22" s="120" t="s">
        <v>309</v>
      </c>
      <c r="D22" s="116" t="s">
        <v>310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7"/>
      <c r="V22" s="116" t="s">
        <v>103</v>
      </c>
      <c r="W22" s="116"/>
      <c r="X22" s="116"/>
      <c r="Y22" s="118"/>
      <c r="Z22" s="121">
        <v>500</v>
      </c>
      <c r="AA22" s="119" t="s">
        <v>310</v>
      </c>
      <c r="AB22" s="40"/>
      <c r="AC22" s="40"/>
      <c r="AD22" s="27"/>
      <c r="AE22" s="27"/>
      <c r="AF22" s="4"/>
      <c r="AG22" s="4"/>
    </row>
    <row r="23" spans="1:33" s="21" customFormat="1">
      <c r="A23" s="25"/>
      <c r="B23" s="108">
        <f t="shared" si="0"/>
        <v>12</v>
      </c>
      <c r="C23" s="120" t="s">
        <v>111</v>
      </c>
      <c r="D23" s="116" t="s">
        <v>311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7"/>
      <c r="V23" s="116" t="s">
        <v>103</v>
      </c>
      <c r="W23" s="116"/>
      <c r="X23" s="116"/>
      <c r="Y23" s="118"/>
      <c r="Z23" s="121">
        <v>10</v>
      </c>
      <c r="AA23" s="119" t="s">
        <v>311</v>
      </c>
      <c r="AB23" s="40"/>
      <c r="AC23" s="40"/>
      <c r="AD23" s="23"/>
      <c r="AE23" s="23"/>
      <c r="AF23" s="4"/>
      <c r="AG23" s="4"/>
    </row>
    <row r="24" spans="1:33" s="21" customFormat="1">
      <c r="A24" s="25"/>
      <c r="B24" s="108">
        <f t="shared" si="0"/>
        <v>13</v>
      </c>
      <c r="C24" s="114" t="s">
        <v>312</v>
      </c>
      <c r="D24" s="115" t="s">
        <v>313</v>
      </c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24"/>
      <c r="V24" s="115" t="s">
        <v>103</v>
      </c>
      <c r="W24" s="115"/>
      <c r="X24" s="115"/>
      <c r="Y24" s="125"/>
      <c r="Z24" s="126">
        <v>500</v>
      </c>
      <c r="AA24" s="123" t="s">
        <v>313</v>
      </c>
      <c r="AB24" s="40"/>
      <c r="AC24" s="40"/>
      <c r="AD24" s="23"/>
      <c r="AE24" s="23"/>
      <c r="AF24" s="4"/>
      <c r="AG24" s="4"/>
    </row>
    <row r="25" spans="1:33" s="21" customFormat="1">
      <c r="A25" s="25"/>
      <c r="B25" s="108">
        <f t="shared" si="0"/>
        <v>14</v>
      </c>
      <c r="C25" s="114" t="s">
        <v>112</v>
      </c>
      <c r="D25" s="115" t="s">
        <v>113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7"/>
      <c r="V25" s="116" t="s">
        <v>103</v>
      </c>
      <c r="W25" s="116"/>
      <c r="X25" s="116"/>
      <c r="Y25" s="118"/>
      <c r="Z25" s="121">
        <v>100</v>
      </c>
      <c r="AA25" s="119" t="s">
        <v>113</v>
      </c>
      <c r="AB25" s="40"/>
      <c r="AC25" s="40"/>
      <c r="AD25" s="23"/>
      <c r="AE25" s="23"/>
      <c r="AF25" s="4"/>
      <c r="AG25" s="4"/>
    </row>
    <row r="26" spans="1:33" s="21" customFormat="1">
      <c r="A26" s="25"/>
      <c r="B26" s="108">
        <f t="shared" si="0"/>
        <v>15</v>
      </c>
      <c r="C26" s="114" t="s">
        <v>139</v>
      </c>
      <c r="D26" s="127" t="s">
        <v>140</v>
      </c>
      <c r="E26" s="128"/>
      <c r="F26" s="128"/>
      <c r="G26" s="128"/>
      <c r="H26" s="128"/>
      <c r="I26" s="128"/>
      <c r="J26" s="128"/>
      <c r="K26" s="129"/>
      <c r="L26" s="128"/>
      <c r="M26" s="128"/>
      <c r="N26" s="128"/>
      <c r="O26" s="115"/>
      <c r="P26" s="128"/>
      <c r="Q26" s="128"/>
      <c r="R26" s="128"/>
      <c r="S26" s="127"/>
      <c r="T26" s="128"/>
      <c r="U26" s="128"/>
      <c r="V26" s="128" t="s">
        <v>103</v>
      </c>
      <c r="W26" s="115"/>
      <c r="X26" s="115"/>
      <c r="Y26" s="115"/>
      <c r="Z26" s="121">
        <v>100</v>
      </c>
      <c r="AA26" s="130" t="s">
        <v>140</v>
      </c>
      <c r="AB26" s="40"/>
      <c r="AC26" s="40"/>
      <c r="AD26" s="23"/>
      <c r="AE26" s="23"/>
      <c r="AF26" s="4"/>
      <c r="AG26" s="4"/>
    </row>
    <row r="27" spans="1:33" s="21" customFormat="1">
      <c r="A27" s="25"/>
      <c r="B27" s="108">
        <f t="shared" si="0"/>
        <v>16</v>
      </c>
      <c r="C27" s="114" t="s">
        <v>147</v>
      </c>
      <c r="D27" s="127" t="s">
        <v>148</v>
      </c>
      <c r="E27" s="128"/>
      <c r="F27" s="128"/>
      <c r="G27" s="128"/>
      <c r="H27" s="128"/>
      <c r="I27" s="128"/>
      <c r="J27" s="128"/>
      <c r="K27" s="129"/>
      <c r="L27" s="128"/>
      <c r="M27" s="128"/>
      <c r="N27" s="128"/>
      <c r="O27" s="115"/>
      <c r="P27" s="128"/>
      <c r="Q27" s="128"/>
      <c r="R27" s="128"/>
      <c r="S27" s="127"/>
      <c r="T27" s="128"/>
      <c r="U27" s="128"/>
      <c r="V27" s="128" t="s">
        <v>103</v>
      </c>
      <c r="W27" s="115"/>
      <c r="X27" s="115"/>
      <c r="Y27" s="115"/>
      <c r="Z27" s="126">
        <v>50</v>
      </c>
      <c r="AA27" s="130" t="s">
        <v>148</v>
      </c>
      <c r="AB27" s="40"/>
      <c r="AC27" s="40"/>
      <c r="AD27" s="23"/>
      <c r="AE27" s="23"/>
      <c r="AF27" s="4"/>
      <c r="AG27" s="4"/>
    </row>
    <row r="28" spans="1:33" s="21" customFormat="1">
      <c r="A28" s="25"/>
      <c r="B28" s="108">
        <v>17</v>
      </c>
      <c r="C28" s="114" t="s">
        <v>314</v>
      </c>
      <c r="D28" s="127" t="s">
        <v>315</v>
      </c>
      <c r="E28" s="131"/>
      <c r="F28" s="131"/>
      <c r="G28" s="131"/>
      <c r="H28" s="131"/>
      <c r="I28" s="131"/>
      <c r="J28" s="131"/>
      <c r="K28" s="132"/>
      <c r="L28" s="131"/>
      <c r="M28" s="131"/>
      <c r="N28" s="131"/>
      <c r="O28" s="116"/>
      <c r="P28" s="131"/>
      <c r="Q28" s="131"/>
      <c r="R28" s="131"/>
      <c r="S28" s="133"/>
      <c r="T28" s="131"/>
      <c r="U28" s="131"/>
      <c r="V28" s="131" t="s">
        <v>103</v>
      </c>
      <c r="W28" s="116"/>
      <c r="X28" s="116"/>
      <c r="Y28" s="134"/>
      <c r="Z28" s="121">
        <v>100</v>
      </c>
      <c r="AA28" s="130" t="s">
        <v>315</v>
      </c>
      <c r="AB28" s="40"/>
      <c r="AC28" s="40"/>
      <c r="AD28" s="23"/>
      <c r="AE28" s="23"/>
      <c r="AF28" s="4"/>
      <c r="AG28" s="4"/>
    </row>
    <row r="29" spans="1:33" s="21" customFormat="1">
      <c r="A29" s="25"/>
      <c r="B29" s="108">
        <f t="shared" si="0"/>
        <v>18</v>
      </c>
      <c r="C29" s="114" t="s">
        <v>316</v>
      </c>
      <c r="D29" s="115" t="s">
        <v>317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7"/>
      <c r="V29" s="116" t="s">
        <v>103</v>
      </c>
      <c r="W29" s="116"/>
      <c r="X29" s="116"/>
      <c r="Y29" s="118"/>
      <c r="Z29" s="121">
        <v>100</v>
      </c>
      <c r="AA29" s="123" t="s">
        <v>318</v>
      </c>
      <c r="AB29" s="40"/>
      <c r="AC29" s="40"/>
      <c r="AD29" s="41" t="s">
        <v>50</v>
      </c>
      <c r="AE29" s="33" t="s">
        <v>51</v>
      </c>
      <c r="AF29" s="4"/>
      <c r="AG29" s="4"/>
    </row>
    <row r="30" spans="1:33" s="21" customFormat="1">
      <c r="A30" s="25"/>
      <c r="B30" s="108">
        <f t="shared" si="0"/>
        <v>19</v>
      </c>
      <c r="C30" s="120" t="s">
        <v>109</v>
      </c>
      <c r="D30" s="116" t="s">
        <v>110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7"/>
      <c r="V30" s="116" t="s">
        <v>103</v>
      </c>
      <c r="W30" s="116"/>
      <c r="X30" s="116"/>
      <c r="Y30" s="118"/>
      <c r="Z30" s="121">
        <v>50</v>
      </c>
      <c r="AA30" s="119" t="s">
        <v>110</v>
      </c>
      <c r="AB30" s="40"/>
      <c r="AC30" s="40"/>
      <c r="AD30" s="23"/>
      <c r="AE30" s="23"/>
      <c r="AF30" s="4"/>
      <c r="AG30" s="4"/>
    </row>
    <row r="31" spans="1:33" s="21" customFormat="1">
      <c r="A31" s="25"/>
      <c r="B31" s="108">
        <f t="shared" si="0"/>
        <v>20</v>
      </c>
      <c r="C31" s="114" t="s">
        <v>114</v>
      </c>
      <c r="D31" s="115" t="s">
        <v>115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7"/>
      <c r="V31" s="116" t="s">
        <v>103</v>
      </c>
      <c r="W31" s="116"/>
      <c r="X31" s="116"/>
      <c r="Y31" s="118"/>
      <c r="Z31" s="121">
        <v>50</v>
      </c>
      <c r="AA31" s="119" t="s">
        <v>115</v>
      </c>
      <c r="AB31" s="40"/>
      <c r="AC31" s="40"/>
      <c r="AD31" s="23"/>
      <c r="AE31" s="23"/>
      <c r="AF31" s="4"/>
      <c r="AG31" s="4"/>
    </row>
    <row r="32" spans="1:33" s="21" customFormat="1">
      <c r="A32" s="25"/>
      <c r="B32" s="108">
        <f t="shared" si="0"/>
        <v>21</v>
      </c>
      <c r="C32" s="120" t="s">
        <v>116</v>
      </c>
      <c r="D32" s="116" t="s">
        <v>117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7"/>
      <c r="V32" s="116" t="s">
        <v>103</v>
      </c>
      <c r="W32" s="116"/>
      <c r="X32" s="116"/>
      <c r="Y32" s="118"/>
      <c r="Z32" s="121">
        <v>50</v>
      </c>
      <c r="AA32" s="119" t="s">
        <v>117</v>
      </c>
      <c r="AB32" s="40"/>
      <c r="AC32" s="40"/>
      <c r="AD32" s="23"/>
      <c r="AE32" s="23"/>
      <c r="AF32" s="4"/>
      <c r="AG32" s="4"/>
    </row>
    <row r="33" spans="1:33" s="21" customFormat="1">
      <c r="A33" s="25"/>
      <c r="B33" s="108">
        <f t="shared" si="0"/>
        <v>22</v>
      </c>
      <c r="C33" s="120" t="s">
        <v>118</v>
      </c>
      <c r="D33" s="116" t="s">
        <v>119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7"/>
      <c r="V33" s="116" t="s">
        <v>120</v>
      </c>
      <c r="W33" s="116"/>
      <c r="X33" s="116"/>
      <c r="Y33" s="118"/>
      <c r="Z33" s="118"/>
      <c r="AA33" s="119" t="s">
        <v>119</v>
      </c>
      <c r="AB33" s="40"/>
      <c r="AC33" s="40"/>
      <c r="AD33" s="23"/>
      <c r="AE33" s="23"/>
      <c r="AF33" s="4"/>
      <c r="AG33" s="4"/>
    </row>
    <row r="34" spans="1:33" s="21" customFormat="1">
      <c r="A34" s="25"/>
      <c r="B34" s="108">
        <f t="shared" si="0"/>
        <v>23</v>
      </c>
      <c r="C34" s="120" t="s">
        <v>121</v>
      </c>
      <c r="D34" s="116" t="s">
        <v>122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7"/>
      <c r="V34" s="116" t="s">
        <v>103</v>
      </c>
      <c r="W34" s="116"/>
      <c r="X34" s="116"/>
      <c r="Y34" s="118"/>
      <c r="Z34" s="121">
        <v>100</v>
      </c>
      <c r="AA34" s="119" t="s">
        <v>122</v>
      </c>
      <c r="AB34" s="40"/>
      <c r="AC34" s="40"/>
      <c r="AD34" s="23"/>
      <c r="AE34" s="23"/>
      <c r="AF34" s="4"/>
      <c r="AG34" s="4"/>
    </row>
    <row r="35" spans="1:33" s="21" customFormat="1">
      <c r="A35" s="25"/>
      <c r="B35" s="108">
        <f t="shared" si="0"/>
        <v>24</v>
      </c>
      <c r="C35" s="120" t="s">
        <v>123</v>
      </c>
      <c r="D35" s="116" t="s">
        <v>319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7"/>
      <c r="V35" s="116" t="s">
        <v>103</v>
      </c>
      <c r="W35" s="116"/>
      <c r="X35" s="116"/>
      <c r="Y35" s="118"/>
      <c r="Z35" s="121">
        <v>50</v>
      </c>
      <c r="AA35" s="119" t="s">
        <v>124</v>
      </c>
      <c r="AB35" s="40"/>
      <c r="AC35" s="40"/>
      <c r="AD35" s="23"/>
      <c r="AE35" s="23"/>
      <c r="AF35" s="4"/>
      <c r="AG35" s="4"/>
    </row>
    <row r="36" spans="1:33" s="21" customFormat="1">
      <c r="A36" s="25"/>
      <c r="B36" s="108">
        <v>25</v>
      </c>
      <c r="C36" s="114" t="s">
        <v>320</v>
      </c>
      <c r="D36" s="127" t="s">
        <v>321</v>
      </c>
      <c r="E36" s="128"/>
      <c r="F36" s="128"/>
      <c r="G36" s="128"/>
      <c r="H36" s="128"/>
      <c r="I36" s="128"/>
      <c r="J36" s="128"/>
      <c r="K36" s="129"/>
      <c r="L36" s="128"/>
      <c r="M36" s="128"/>
      <c r="N36" s="128"/>
      <c r="O36" s="115"/>
      <c r="P36" s="128"/>
      <c r="Q36" s="128"/>
      <c r="R36" s="128"/>
      <c r="S36" s="127"/>
      <c r="T36" s="128"/>
      <c r="U36" s="128"/>
      <c r="V36" s="128" t="s">
        <v>106</v>
      </c>
      <c r="W36" s="115">
        <v>3</v>
      </c>
      <c r="X36" s="115">
        <v>0</v>
      </c>
      <c r="Y36" s="115"/>
      <c r="Z36" s="135"/>
      <c r="AA36" s="130" t="s">
        <v>321</v>
      </c>
      <c r="AB36" s="40"/>
      <c r="AC36" s="40"/>
      <c r="AD36" s="23"/>
      <c r="AE36" s="23"/>
      <c r="AF36" s="4"/>
      <c r="AG36" s="4"/>
    </row>
    <row r="37" spans="1:33" s="21" customFormat="1">
      <c r="A37" s="25"/>
      <c r="B37" s="108">
        <v>26</v>
      </c>
      <c r="C37" s="114" t="s">
        <v>322</v>
      </c>
      <c r="D37" s="127" t="s">
        <v>323</v>
      </c>
      <c r="E37" s="128"/>
      <c r="F37" s="128"/>
      <c r="G37" s="128"/>
      <c r="H37" s="128"/>
      <c r="I37" s="128"/>
      <c r="J37" s="128"/>
      <c r="K37" s="129"/>
      <c r="L37" s="128"/>
      <c r="M37" s="128"/>
      <c r="N37" s="128"/>
      <c r="O37" s="115"/>
      <c r="P37" s="128"/>
      <c r="Q37" s="128"/>
      <c r="R37" s="128"/>
      <c r="S37" s="127"/>
      <c r="T37" s="128"/>
      <c r="U37" s="128"/>
      <c r="V37" s="128" t="s">
        <v>106</v>
      </c>
      <c r="W37" s="115">
        <v>3</v>
      </c>
      <c r="X37" s="115">
        <v>0</v>
      </c>
      <c r="Y37" s="115"/>
      <c r="Z37" s="135"/>
      <c r="AA37" s="130" t="s">
        <v>323</v>
      </c>
      <c r="AB37" s="40"/>
      <c r="AC37" s="40"/>
      <c r="AD37" s="23"/>
      <c r="AE37" s="23"/>
      <c r="AF37" s="4"/>
      <c r="AG37" s="4"/>
    </row>
    <row r="38" spans="1:33" s="21" customFormat="1">
      <c r="A38" s="25"/>
      <c r="B38" s="108">
        <f t="shared" si="0"/>
        <v>27</v>
      </c>
      <c r="C38" s="120" t="s">
        <v>324</v>
      </c>
      <c r="D38" s="116" t="s">
        <v>325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7"/>
      <c r="V38" s="116" t="s">
        <v>103</v>
      </c>
      <c r="W38" s="116"/>
      <c r="X38" s="116"/>
      <c r="Y38" s="118"/>
      <c r="Z38" s="121">
        <v>50</v>
      </c>
      <c r="AA38" s="119" t="s">
        <v>325</v>
      </c>
      <c r="AB38" s="40"/>
      <c r="AC38" s="40"/>
      <c r="AD38" s="23"/>
      <c r="AE38" s="23"/>
      <c r="AF38" s="4"/>
      <c r="AG38" s="4"/>
    </row>
    <row r="39" spans="1:33" s="21" customFormat="1">
      <c r="A39" s="25"/>
      <c r="B39" s="108">
        <f t="shared" si="0"/>
        <v>28</v>
      </c>
      <c r="C39" s="114" t="s">
        <v>125</v>
      </c>
      <c r="D39" s="115" t="s">
        <v>126</v>
      </c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24"/>
      <c r="V39" s="115" t="s">
        <v>103</v>
      </c>
      <c r="W39" s="115"/>
      <c r="X39" s="115"/>
      <c r="Y39" s="125"/>
      <c r="Z39" s="126">
        <v>500</v>
      </c>
      <c r="AA39" s="123" t="s">
        <v>126</v>
      </c>
      <c r="AB39" s="40"/>
      <c r="AC39" s="40"/>
      <c r="AD39" s="23"/>
      <c r="AE39" s="23"/>
      <c r="AF39" s="4"/>
      <c r="AG39" s="4"/>
    </row>
    <row r="40" spans="1:33" s="21" customFormat="1">
      <c r="A40" s="25"/>
      <c r="B40" s="108">
        <f t="shared" si="0"/>
        <v>29</v>
      </c>
      <c r="C40" s="114" t="s">
        <v>127</v>
      </c>
      <c r="D40" s="127" t="s">
        <v>128</v>
      </c>
      <c r="E40" s="128"/>
      <c r="F40" s="128"/>
      <c r="G40" s="128"/>
      <c r="H40" s="128"/>
      <c r="I40" s="128"/>
      <c r="J40" s="128"/>
      <c r="K40" s="129"/>
      <c r="L40" s="128"/>
      <c r="M40" s="128"/>
      <c r="N40" s="128"/>
      <c r="O40" s="115"/>
      <c r="P40" s="128"/>
      <c r="Q40" s="128"/>
      <c r="R40" s="128"/>
      <c r="S40" s="127"/>
      <c r="T40" s="128"/>
      <c r="U40" s="128"/>
      <c r="V40" s="128" t="s">
        <v>103</v>
      </c>
      <c r="W40" s="115"/>
      <c r="X40" s="115"/>
      <c r="Y40" s="115"/>
      <c r="Z40" s="126">
        <v>10</v>
      </c>
      <c r="AA40" s="130" t="s">
        <v>128</v>
      </c>
      <c r="AB40" s="40"/>
      <c r="AC40" s="40"/>
      <c r="AD40" s="23"/>
      <c r="AE40" s="23"/>
      <c r="AF40" s="4"/>
      <c r="AG40" s="4"/>
    </row>
    <row r="41" spans="1:33" s="21" customFormat="1">
      <c r="A41" s="25"/>
      <c r="B41" s="108">
        <f t="shared" si="0"/>
        <v>30</v>
      </c>
      <c r="C41" s="114" t="s">
        <v>129</v>
      </c>
      <c r="D41" s="115" t="s">
        <v>130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24"/>
      <c r="V41" s="115" t="s">
        <v>103</v>
      </c>
      <c r="W41" s="115"/>
      <c r="X41" s="115"/>
      <c r="Y41" s="125"/>
      <c r="Z41" s="126">
        <v>10</v>
      </c>
      <c r="AA41" s="123" t="s">
        <v>130</v>
      </c>
      <c r="AB41" s="40"/>
      <c r="AC41" s="40"/>
      <c r="AD41" s="23"/>
      <c r="AE41" s="23"/>
      <c r="AF41" s="4"/>
      <c r="AG41" s="4"/>
    </row>
    <row r="42" spans="1:33" s="21" customFormat="1">
      <c r="A42" s="25"/>
      <c r="B42" s="108">
        <f t="shared" si="0"/>
        <v>31</v>
      </c>
      <c r="C42" s="114" t="s">
        <v>131</v>
      </c>
      <c r="D42" s="127" t="s">
        <v>132</v>
      </c>
      <c r="E42" s="128"/>
      <c r="F42" s="128"/>
      <c r="G42" s="128"/>
      <c r="H42" s="128"/>
      <c r="I42" s="128"/>
      <c r="J42" s="128"/>
      <c r="K42" s="129"/>
      <c r="L42" s="128"/>
      <c r="M42" s="128"/>
      <c r="N42" s="128"/>
      <c r="O42" s="115"/>
      <c r="P42" s="128"/>
      <c r="Q42" s="128"/>
      <c r="R42" s="128"/>
      <c r="S42" s="127"/>
      <c r="T42" s="128"/>
      <c r="U42" s="128"/>
      <c r="V42" s="128" t="s">
        <v>103</v>
      </c>
      <c r="W42" s="115"/>
      <c r="X42" s="115"/>
      <c r="Y42" s="115"/>
      <c r="Z42" s="126">
        <v>10</v>
      </c>
      <c r="AA42" s="130" t="s">
        <v>132</v>
      </c>
      <c r="AB42" s="40"/>
      <c r="AC42" s="40"/>
      <c r="AD42" s="23"/>
      <c r="AE42" s="23"/>
      <c r="AF42" s="4"/>
      <c r="AG42" s="4"/>
    </row>
    <row r="43" spans="1:33" s="21" customFormat="1">
      <c r="A43" s="25"/>
      <c r="B43" s="108">
        <f t="shared" si="0"/>
        <v>32</v>
      </c>
      <c r="C43" s="114" t="s">
        <v>133</v>
      </c>
      <c r="D43" s="115" t="s">
        <v>134</v>
      </c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24"/>
      <c r="V43" s="115" t="s">
        <v>103</v>
      </c>
      <c r="W43" s="115"/>
      <c r="X43" s="115"/>
      <c r="Y43" s="125"/>
      <c r="Z43" s="126">
        <v>10</v>
      </c>
      <c r="AA43" s="123" t="s">
        <v>134</v>
      </c>
      <c r="AB43" s="40"/>
      <c r="AC43" s="40"/>
      <c r="AD43" s="23"/>
      <c r="AE43" s="23"/>
      <c r="AF43" s="4"/>
      <c r="AG43" s="4"/>
    </row>
    <row r="44" spans="1:33" s="21" customFormat="1">
      <c r="A44" s="25"/>
      <c r="B44" s="108">
        <f t="shared" si="0"/>
        <v>33</v>
      </c>
      <c r="C44" s="114" t="s">
        <v>135</v>
      </c>
      <c r="D44" s="127" t="s">
        <v>136</v>
      </c>
      <c r="E44" s="128"/>
      <c r="F44" s="128"/>
      <c r="G44" s="128"/>
      <c r="H44" s="128"/>
      <c r="I44" s="128"/>
      <c r="J44" s="128"/>
      <c r="K44" s="129"/>
      <c r="L44" s="128"/>
      <c r="M44" s="128"/>
      <c r="N44" s="128"/>
      <c r="O44" s="115"/>
      <c r="P44" s="128"/>
      <c r="Q44" s="128"/>
      <c r="R44" s="128"/>
      <c r="S44" s="127"/>
      <c r="T44" s="128"/>
      <c r="U44" s="128"/>
      <c r="V44" s="128" t="s">
        <v>106</v>
      </c>
      <c r="W44" s="115">
        <v>2</v>
      </c>
      <c r="X44" s="115">
        <v>0</v>
      </c>
      <c r="Y44" s="115"/>
      <c r="Z44" s="135"/>
      <c r="AA44" s="130" t="s">
        <v>136</v>
      </c>
      <c r="AB44" s="40"/>
      <c r="AC44" s="40"/>
      <c r="AD44" s="23"/>
      <c r="AE44" s="23"/>
      <c r="AF44" s="4"/>
      <c r="AG44" s="4"/>
    </row>
    <row r="45" spans="1:33" s="21" customFormat="1">
      <c r="A45" s="25"/>
      <c r="B45" s="136">
        <f t="shared" si="0"/>
        <v>34</v>
      </c>
      <c r="C45" s="137" t="s">
        <v>137</v>
      </c>
      <c r="D45" s="138" t="s">
        <v>138</v>
      </c>
      <c r="E45" s="139"/>
      <c r="F45" s="139"/>
      <c r="G45" s="139"/>
      <c r="H45" s="139"/>
      <c r="I45" s="139"/>
      <c r="J45" s="139"/>
      <c r="K45" s="140"/>
      <c r="L45" s="139"/>
      <c r="M45" s="139"/>
      <c r="N45" s="139"/>
      <c r="O45" s="141"/>
      <c r="P45" s="139"/>
      <c r="Q45" s="139"/>
      <c r="R45" s="139"/>
      <c r="S45" s="138"/>
      <c r="T45" s="139"/>
      <c r="U45" s="139"/>
      <c r="V45" s="139" t="s">
        <v>106</v>
      </c>
      <c r="W45" s="141">
        <v>2</v>
      </c>
      <c r="X45" s="141">
        <v>0</v>
      </c>
      <c r="Y45" s="141"/>
      <c r="Z45" s="142"/>
      <c r="AA45" s="143" t="s">
        <v>138</v>
      </c>
      <c r="AB45" s="144"/>
      <c r="AC45" s="144"/>
      <c r="AD45" s="23"/>
      <c r="AE45" s="23"/>
      <c r="AF45" s="4"/>
      <c r="AG45" s="4"/>
    </row>
    <row r="46" spans="1:33" s="21" customFormat="1">
      <c r="A46" s="25"/>
      <c r="B46" s="136">
        <f t="shared" si="0"/>
        <v>35</v>
      </c>
      <c r="C46" s="137" t="s">
        <v>141</v>
      </c>
      <c r="D46" s="138" t="s">
        <v>142</v>
      </c>
      <c r="E46" s="139"/>
      <c r="F46" s="139"/>
      <c r="G46" s="139"/>
      <c r="H46" s="139"/>
      <c r="I46" s="139"/>
      <c r="J46" s="139"/>
      <c r="K46" s="140"/>
      <c r="L46" s="139"/>
      <c r="M46" s="139"/>
      <c r="N46" s="139"/>
      <c r="O46" s="141"/>
      <c r="P46" s="139"/>
      <c r="Q46" s="139"/>
      <c r="R46" s="139"/>
      <c r="S46" s="138"/>
      <c r="T46" s="139"/>
      <c r="U46" s="139"/>
      <c r="V46" s="139" t="s">
        <v>120</v>
      </c>
      <c r="W46" s="141"/>
      <c r="X46" s="141"/>
      <c r="Y46" s="141"/>
      <c r="Z46" s="142"/>
      <c r="AA46" s="143" t="s">
        <v>142</v>
      </c>
      <c r="AB46" s="144"/>
      <c r="AC46" s="144"/>
      <c r="AD46" s="23"/>
      <c r="AE46" s="23"/>
      <c r="AF46" s="4"/>
      <c r="AG46" s="4"/>
    </row>
    <row r="47" spans="1:33" s="21" customFormat="1">
      <c r="A47" s="25"/>
      <c r="B47" s="136">
        <f t="shared" si="0"/>
        <v>36</v>
      </c>
      <c r="C47" s="137" t="s">
        <v>143</v>
      </c>
      <c r="D47" s="138" t="s">
        <v>144</v>
      </c>
      <c r="E47" s="139"/>
      <c r="F47" s="139"/>
      <c r="G47" s="139"/>
      <c r="H47" s="139"/>
      <c r="I47" s="139"/>
      <c r="J47" s="139"/>
      <c r="K47" s="140"/>
      <c r="L47" s="139"/>
      <c r="M47" s="139"/>
      <c r="N47" s="139"/>
      <c r="O47" s="141"/>
      <c r="P47" s="139"/>
      <c r="Q47" s="139"/>
      <c r="R47" s="139"/>
      <c r="S47" s="138"/>
      <c r="T47" s="139"/>
      <c r="U47" s="139"/>
      <c r="V47" s="139" t="s">
        <v>106</v>
      </c>
      <c r="W47" s="141">
        <v>1</v>
      </c>
      <c r="X47" s="141">
        <v>0</v>
      </c>
      <c r="Y47" s="141"/>
      <c r="Z47" s="142"/>
      <c r="AA47" s="143" t="s">
        <v>144</v>
      </c>
      <c r="AB47" s="144"/>
      <c r="AC47" s="144"/>
      <c r="AD47" s="23"/>
      <c r="AE47" s="23"/>
      <c r="AF47" s="4"/>
      <c r="AG47" s="4"/>
    </row>
    <row r="48" spans="1:33" s="21" customFormat="1">
      <c r="A48" s="25"/>
      <c r="B48" s="136">
        <f t="shared" si="0"/>
        <v>37</v>
      </c>
      <c r="C48" s="137" t="s">
        <v>145</v>
      </c>
      <c r="D48" s="138" t="s">
        <v>146</v>
      </c>
      <c r="E48" s="139"/>
      <c r="F48" s="139"/>
      <c r="G48" s="139"/>
      <c r="H48" s="139"/>
      <c r="I48" s="139"/>
      <c r="J48" s="139"/>
      <c r="K48" s="140"/>
      <c r="L48" s="139"/>
      <c r="M48" s="139"/>
      <c r="N48" s="139"/>
      <c r="O48" s="141"/>
      <c r="P48" s="139"/>
      <c r="Q48" s="139"/>
      <c r="R48" s="139"/>
      <c r="S48" s="138"/>
      <c r="T48" s="139"/>
      <c r="U48" s="139"/>
      <c r="V48" s="139" t="s">
        <v>106</v>
      </c>
      <c r="W48" s="141">
        <v>2</v>
      </c>
      <c r="X48" s="141">
        <v>0</v>
      </c>
      <c r="Y48" s="141"/>
      <c r="Z48" s="142"/>
      <c r="AA48" s="143" t="s">
        <v>146</v>
      </c>
      <c r="AB48" s="144"/>
      <c r="AC48" s="144"/>
      <c r="AD48" s="23"/>
      <c r="AE48" s="23"/>
      <c r="AF48" s="4"/>
      <c r="AG48" s="4"/>
    </row>
    <row r="49" spans="1:33" s="21" customFormat="1">
      <c r="A49" s="25"/>
      <c r="B49" s="136">
        <f t="shared" si="0"/>
        <v>38</v>
      </c>
      <c r="C49" s="137" t="s">
        <v>149</v>
      </c>
      <c r="D49" s="138" t="s">
        <v>150</v>
      </c>
      <c r="E49" s="139"/>
      <c r="F49" s="139"/>
      <c r="G49" s="139"/>
      <c r="H49" s="139"/>
      <c r="I49" s="139"/>
      <c r="J49" s="139"/>
      <c r="K49" s="140"/>
      <c r="L49" s="139"/>
      <c r="M49" s="139"/>
      <c r="N49" s="139"/>
      <c r="O49" s="141"/>
      <c r="P49" s="139"/>
      <c r="Q49" s="139"/>
      <c r="R49" s="139"/>
      <c r="S49" s="138"/>
      <c r="T49" s="139"/>
      <c r="U49" s="139"/>
      <c r="V49" s="139" t="s">
        <v>120</v>
      </c>
      <c r="W49" s="141"/>
      <c r="X49" s="141"/>
      <c r="Y49" s="141"/>
      <c r="Z49" s="142"/>
      <c r="AA49" s="143" t="s">
        <v>150</v>
      </c>
      <c r="AB49" s="144"/>
      <c r="AC49" s="144"/>
      <c r="AD49" s="23"/>
      <c r="AE49" s="23"/>
      <c r="AF49" s="4"/>
      <c r="AG49" s="4"/>
    </row>
    <row r="50" spans="1:33" s="21" customFormat="1">
      <c r="A50" s="25"/>
      <c r="B50" s="136">
        <f t="shared" si="0"/>
        <v>39</v>
      </c>
      <c r="C50" s="137" t="s">
        <v>151</v>
      </c>
      <c r="D50" s="138" t="s">
        <v>152</v>
      </c>
      <c r="E50" s="139"/>
      <c r="F50" s="139"/>
      <c r="G50" s="139"/>
      <c r="H50" s="139"/>
      <c r="I50" s="139"/>
      <c r="J50" s="139"/>
      <c r="K50" s="140"/>
      <c r="L50" s="139"/>
      <c r="M50" s="139"/>
      <c r="N50" s="139"/>
      <c r="O50" s="141"/>
      <c r="P50" s="139"/>
      <c r="Q50" s="139"/>
      <c r="R50" s="139"/>
      <c r="S50" s="138"/>
      <c r="T50" s="139"/>
      <c r="U50" s="139"/>
      <c r="V50" s="139" t="s">
        <v>106</v>
      </c>
      <c r="W50" s="141">
        <v>1</v>
      </c>
      <c r="X50" s="141">
        <v>0</v>
      </c>
      <c r="Y50" s="141"/>
      <c r="Z50" s="142"/>
      <c r="AA50" s="143" t="s">
        <v>152</v>
      </c>
      <c r="AB50" s="144"/>
      <c r="AC50" s="144"/>
      <c r="AD50" s="23"/>
      <c r="AE50" s="23"/>
      <c r="AF50" s="4"/>
      <c r="AG50" s="4"/>
    </row>
    <row r="51" spans="1:33" s="21" customFormat="1">
      <c r="A51" s="25"/>
      <c r="B51" s="108">
        <f t="shared" si="0"/>
        <v>40</v>
      </c>
      <c r="C51" s="114" t="s">
        <v>68</v>
      </c>
      <c r="D51" s="127" t="s">
        <v>87</v>
      </c>
      <c r="E51" s="128"/>
      <c r="F51" s="128"/>
      <c r="G51" s="128"/>
      <c r="H51" s="128"/>
      <c r="I51" s="128"/>
      <c r="J51" s="128"/>
      <c r="K51" s="129"/>
      <c r="L51" s="128"/>
      <c r="M51" s="128"/>
      <c r="N51" s="128"/>
      <c r="O51" s="115"/>
      <c r="P51" s="128"/>
      <c r="Q51" s="128"/>
      <c r="R51" s="128"/>
      <c r="S51" s="127"/>
      <c r="T51" s="128"/>
      <c r="U51" s="145" t="s">
        <v>27</v>
      </c>
      <c r="V51" s="128" t="s">
        <v>28</v>
      </c>
      <c r="W51" s="115">
        <v>1</v>
      </c>
      <c r="X51" s="115"/>
      <c r="Y51" s="115"/>
      <c r="Z51" s="135"/>
      <c r="AA51" s="130" t="s">
        <v>87</v>
      </c>
      <c r="AB51" s="40"/>
      <c r="AC51" s="40"/>
      <c r="AD51" s="23"/>
      <c r="AE51" s="23"/>
      <c r="AF51" s="4"/>
      <c r="AG51" s="4"/>
    </row>
    <row r="52" spans="1:33" s="21" customFormat="1">
      <c r="A52" s="25"/>
      <c r="B52" s="108">
        <f t="shared" si="0"/>
        <v>41</v>
      </c>
      <c r="C52" s="114" t="s">
        <v>69</v>
      </c>
      <c r="D52" s="127" t="s">
        <v>88</v>
      </c>
      <c r="E52" s="128"/>
      <c r="F52" s="128"/>
      <c r="G52" s="128"/>
      <c r="H52" s="128"/>
      <c r="I52" s="128"/>
      <c r="J52" s="128"/>
      <c r="K52" s="129"/>
      <c r="L52" s="128"/>
      <c r="M52" s="128"/>
      <c r="N52" s="128"/>
      <c r="O52" s="115"/>
      <c r="P52" s="128"/>
      <c r="Q52" s="128"/>
      <c r="R52" s="128"/>
      <c r="S52" s="127"/>
      <c r="T52" s="128"/>
      <c r="U52" s="145" t="s">
        <v>27</v>
      </c>
      <c r="V52" s="128" t="s">
        <v>29</v>
      </c>
      <c r="W52" s="115"/>
      <c r="X52" s="115"/>
      <c r="Y52" s="115"/>
      <c r="Z52" s="135"/>
      <c r="AA52" s="130" t="s">
        <v>88</v>
      </c>
      <c r="AB52" s="40"/>
      <c r="AC52" s="40"/>
      <c r="AD52" s="23"/>
      <c r="AE52" s="23"/>
      <c r="AF52" s="4"/>
      <c r="AG52" s="4"/>
    </row>
    <row r="53" spans="1:33" s="21" customFormat="1">
      <c r="A53" s="25"/>
      <c r="B53" s="108">
        <f t="shared" si="0"/>
        <v>42</v>
      </c>
      <c r="C53" s="114" t="s">
        <v>70</v>
      </c>
      <c r="D53" s="127" t="s">
        <v>89</v>
      </c>
      <c r="E53" s="128"/>
      <c r="F53" s="128"/>
      <c r="G53" s="128"/>
      <c r="H53" s="128"/>
      <c r="I53" s="128"/>
      <c r="J53" s="128"/>
      <c r="K53" s="129"/>
      <c r="L53" s="128"/>
      <c r="M53" s="128"/>
      <c r="N53" s="128"/>
      <c r="O53" s="115"/>
      <c r="P53" s="128"/>
      <c r="Q53" s="128"/>
      <c r="R53" s="128"/>
      <c r="S53" s="127"/>
      <c r="T53" s="128"/>
      <c r="U53" s="145" t="s">
        <v>27</v>
      </c>
      <c r="V53" s="128" t="s">
        <v>33</v>
      </c>
      <c r="W53" s="115">
        <v>20</v>
      </c>
      <c r="X53" s="115"/>
      <c r="Y53" s="115"/>
      <c r="Z53" s="135">
        <v>15</v>
      </c>
      <c r="AA53" s="130" t="s">
        <v>89</v>
      </c>
      <c r="AB53" s="40"/>
      <c r="AC53" s="40"/>
      <c r="AD53" s="23"/>
      <c r="AE53" s="23"/>
      <c r="AF53" s="4"/>
      <c r="AG53" s="4"/>
    </row>
    <row r="54" spans="1:33" s="21" customFormat="1">
      <c r="A54" s="25"/>
      <c r="B54" s="108">
        <f t="shared" si="0"/>
        <v>43</v>
      </c>
      <c r="C54" s="114" t="s">
        <v>71</v>
      </c>
      <c r="D54" s="127" t="s">
        <v>90</v>
      </c>
      <c r="E54" s="128"/>
      <c r="F54" s="128"/>
      <c r="G54" s="128"/>
      <c r="H54" s="128"/>
      <c r="I54" s="128"/>
      <c r="J54" s="128"/>
      <c r="K54" s="129"/>
      <c r="L54" s="128"/>
      <c r="M54" s="128"/>
      <c r="N54" s="128"/>
      <c r="O54" s="115"/>
      <c r="P54" s="128"/>
      <c r="Q54" s="128"/>
      <c r="R54" s="128"/>
      <c r="S54" s="127"/>
      <c r="T54" s="128"/>
      <c r="U54" s="145" t="s">
        <v>27</v>
      </c>
      <c r="V54" s="128" t="s">
        <v>29</v>
      </c>
      <c r="W54" s="115"/>
      <c r="X54" s="115"/>
      <c r="Y54" s="115"/>
      <c r="Z54" s="135"/>
      <c r="AA54" s="130" t="s">
        <v>90</v>
      </c>
      <c r="AB54" s="40"/>
      <c r="AC54" s="40"/>
      <c r="AD54" s="23"/>
      <c r="AE54" s="23"/>
      <c r="AF54" s="4"/>
      <c r="AG54" s="4"/>
    </row>
    <row r="55" spans="1:33" s="21" customFormat="1">
      <c r="A55" s="25"/>
      <c r="B55" s="108">
        <f t="shared" si="0"/>
        <v>44</v>
      </c>
      <c r="C55" s="114" t="s">
        <v>72</v>
      </c>
      <c r="D55" s="127" t="s">
        <v>91</v>
      </c>
      <c r="E55" s="128"/>
      <c r="F55" s="128"/>
      <c r="G55" s="128"/>
      <c r="H55" s="128"/>
      <c r="I55" s="128"/>
      <c r="J55" s="128"/>
      <c r="K55" s="129"/>
      <c r="L55" s="128"/>
      <c r="M55" s="128"/>
      <c r="N55" s="128"/>
      <c r="O55" s="115"/>
      <c r="P55" s="128"/>
      <c r="Q55" s="128"/>
      <c r="R55" s="128"/>
      <c r="S55" s="127"/>
      <c r="T55" s="128"/>
      <c r="U55" s="145" t="s">
        <v>27</v>
      </c>
      <c r="V55" s="128" t="s">
        <v>33</v>
      </c>
      <c r="W55" s="115">
        <v>20</v>
      </c>
      <c r="X55" s="115"/>
      <c r="Y55" s="115"/>
      <c r="Z55" s="135">
        <v>15</v>
      </c>
      <c r="AA55" s="130" t="s">
        <v>91</v>
      </c>
      <c r="AB55" s="40"/>
      <c r="AC55" s="40"/>
      <c r="AD55" s="23"/>
      <c r="AE55" s="23"/>
      <c r="AF55" s="4"/>
      <c r="AG55" s="4"/>
    </row>
    <row r="56" spans="1:33" s="21" customFormat="1">
      <c r="A56" s="25"/>
      <c r="B56" s="108">
        <f t="shared" si="0"/>
        <v>45</v>
      </c>
      <c r="C56" s="114" t="s">
        <v>73</v>
      </c>
      <c r="D56" s="127" t="s">
        <v>78</v>
      </c>
      <c r="E56" s="128"/>
      <c r="F56" s="128"/>
      <c r="G56" s="128"/>
      <c r="H56" s="128"/>
      <c r="I56" s="128"/>
      <c r="J56" s="128"/>
      <c r="K56" s="129"/>
      <c r="L56" s="128"/>
      <c r="M56" s="128"/>
      <c r="N56" s="128"/>
      <c r="O56" s="115"/>
      <c r="P56" s="128"/>
      <c r="Q56" s="128"/>
      <c r="R56" s="128"/>
      <c r="S56" s="127"/>
      <c r="T56" s="128"/>
      <c r="U56" s="145" t="s">
        <v>27</v>
      </c>
      <c r="V56" s="128" t="s">
        <v>74</v>
      </c>
      <c r="W56" s="115"/>
      <c r="X56" s="115"/>
      <c r="Y56" s="115"/>
      <c r="Z56" s="135"/>
      <c r="AA56" s="130" t="s">
        <v>78</v>
      </c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34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72"/>
      <c r="W57" s="68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34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72"/>
      <c r="W58" s="68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15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34"/>
      <c r="W59" s="70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15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68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26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71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26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71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26"/>
      <c r="W63" s="26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71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72"/>
      <c r="W64" s="26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34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72"/>
      <c r="W65" s="68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34"/>
      <c r="W66" s="70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15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34"/>
      <c r="W67" s="70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15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34"/>
      <c r="W68" s="70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15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68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26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71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26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71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26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si="0"/>
        <v>65</v>
      </c>
      <c r="C76" s="71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26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0"/>
        <v>66</v>
      </c>
      <c r="C77" s="34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72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0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72"/>
      <c r="W78" s="26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ref="B79:B117" si="1">ROW()-11</f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72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1" customFormat="1">
      <c r="A105" s="25"/>
      <c r="B105" s="24">
        <f t="shared" si="1"/>
        <v>94</v>
      </c>
      <c r="C105" s="15"/>
      <c r="D105" s="5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59"/>
      <c r="V105" s="34"/>
      <c r="W105" s="68"/>
      <c r="X105" s="26"/>
      <c r="Y105" s="35"/>
      <c r="Z105" s="35"/>
      <c r="AA105" s="43"/>
      <c r="AB105" s="40"/>
      <c r="AC105" s="40"/>
      <c r="AD105" s="23"/>
      <c r="AE105" s="23"/>
      <c r="AF105" s="4"/>
      <c r="AG105" s="4"/>
    </row>
    <row r="106" spans="1:33" s="21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34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1" customFormat="1">
      <c r="A107" s="25"/>
      <c r="B107" s="24">
        <f t="shared" si="1"/>
        <v>96</v>
      </c>
      <c r="C107" s="15"/>
      <c r="D107" s="5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59"/>
      <c r="V107" s="34"/>
      <c r="W107" s="68"/>
      <c r="X107" s="26"/>
      <c r="Y107" s="35"/>
      <c r="Z107" s="35"/>
      <c r="AA107" s="43"/>
      <c r="AB107" s="40"/>
      <c r="AC107" s="40"/>
      <c r="AD107" s="23"/>
      <c r="AE107" s="23"/>
      <c r="AF107" s="4"/>
      <c r="AG107" s="4"/>
    </row>
    <row r="108" spans="1:33" s="23" customFormat="1">
      <c r="A108" s="22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5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59"/>
      <c r="V109" s="68"/>
      <c r="W109" s="68"/>
      <c r="X109" s="26"/>
      <c r="Y109" s="35"/>
      <c r="Z109" s="35"/>
      <c r="AA109" s="43"/>
      <c r="AB109" s="40"/>
      <c r="AC109" s="40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s="27" customFormat="1">
      <c r="A114" s="25"/>
      <c r="B114" s="24">
        <f t="shared" si="1"/>
        <v>103</v>
      </c>
      <c r="C114" s="15"/>
      <c r="D114" s="72"/>
      <c r="E114" s="73"/>
      <c r="F114" s="73"/>
      <c r="G114" s="73"/>
      <c r="H114" s="73"/>
      <c r="I114" s="73"/>
      <c r="J114" s="73"/>
      <c r="K114" s="74"/>
      <c r="L114" s="73"/>
      <c r="M114" s="73"/>
      <c r="N114" s="73"/>
      <c r="O114" s="26"/>
      <c r="P114" s="73"/>
      <c r="Q114" s="73"/>
      <c r="R114" s="73"/>
      <c r="S114" s="72"/>
      <c r="T114" s="73"/>
      <c r="U114" s="73"/>
      <c r="V114" s="73"/>
      <c r="W114" s="26"/>
      <c r="X114" s="26"/>
      <c r="Y114" s="26"/>
      <c r="Z114" s="75"/>
      <c r="AA114" s="76"/>
      <c r="AB114" s="77"/>
      <c r="AC114" s="77"/>
      <c r="AD114" s="23"/>
      <c r="AE114" s="23"/>
      <c r="AF114" s="4"/>
      <c r="AG114" s="4"/>
    </row>
    <row r="115" spans="1:33" s="27" customFormat="1">
      <c r="A115" s="25"/>
      <c r="B115" s="24">
        <f t="shared" si="1"/>
        <v>104</v>
      </c>
      <c r="C115" s="15"/>
      <c r="D115" s="72"/>
      <c r="E115" s="73"/>
      <c r="F115" s="73"/>
      <c r="G115" s="73"/>
      <c r="H115" s="73"/>
      <c r="I115" s="73"/>
      <c r="J115" s="73"/>
      <c r="K115" s="74"/>
      <c r="L115" s="73"/>
      <c r="M115" s="73"/>
      <c r="N115" s="73"/>
      <c r="O115" s="26"/>
      <c r="P115" s="73"/>
      <c r="Q115" s="73"/>
      <c r="R115" s="73"/>
      <c r="S115" s="72"/>
      <c r="T115" s="73"/>
      <c r="U115" s="73"/>
      <c r="V115" s="73"/>
      <c r="W115" s="26"/>
      <c r="X115" s="26"/>
      <c r="Y115" s="26"/>
      <c r="Z115" s="75"/>
      <c r="AA115" s="76"/>
      <c r="AB115" s="77"/>
      <c r="AC115" s="77"/>
      <c r="AD115" s="23"/>
      <c r="AE115" s="23"/>
      <c r="AF115" s="4"/>
      <c r="AG115" s="4"/>
    </row>
    <row r="116" spans="1:33" s="27" customFormat="1">
      <c r="A116" s="25"/>
      <c r="B116" s="24">
        <f t="shared" si="1"/>
        <v>105</v>
      </c>
      <c r="C116" s="15"/>
      <c r="D116" s="72"/>
      <c r="E116" s="73"/>
      <c r="F116" s="73"/>
      <c r="G116" s="73"/>
      <c r="H116" s="73"/>
      <c r="I116" s="73"/>
      <c r="J116" s="73"/>
      <c r="K116" s="74"/>
      <c r="L116" s="73"/>
      <c r="M116" s="73"/>
      <c r="N116" s="73"/>
      <c r="O116" s="26"/>
      <c r="P116" s="73"/>
      <c r="Q116" s="73"/>
      <c r="R116" s="73"/>
      <c r="S116" s="72"/>
      <c r="T116" s="73"/>
      <c r="U116" s="73"/>
      <c r="V116" s="73"/>
      <c r="W116" s="26"/>
      <c r="X116" s="26"/>
      <c r="Y116" s="26"/>
      <c r="Z116" s="75"/>
      <c r="AA116" s="76"/>
      <c r="AB116" s="77"/>
      <c r="AC116" s="77"/>
      <c r="AD116" s="23"/>
      <c r="AE116" s="23"/>
      <c r="AF116" s="4"/>
      <c r="AG116" s="4"/>
    </row>
    <row r="117" spans="1:33" ht="12.6" thickBot="1">
      <c r="A117" s="78"/>
      <c r="B117" s="79">
        <f t="shared" si="1"/>
        <v>106</v>
      </c>
      <c r="C117" s="80"/>
      <c r="D117" s="81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3"/>
      <c r="V117" s="83"/>
      <c r="W117" s="79"/>
      <c r="X117" s="82"/>
      <c r="Y117" s="84"/>
      <c r="Z117" s="84"/>
      <c r="AA117" s="85"/>
      <c r="AB117" s="86"/>
      <c r="AC117" s="86"/>
      <c r="AD117" s="23"/>
      <c r="AE117" s="23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11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11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11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8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8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28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29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29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30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31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31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  <c r="P192" s="3"/>
      <c r="Q192" s="3"/>
      <c r="R192" s="3"/>
      <c r="S192" s="88"/>
      <c r="T192" s="3"/>
      <c r="U192" s="3"/>
      <c r="V192" s="3"/>
      <c r="W192" s="6"/>
      <c r="X192" s="6"/>
      <c r="Y192" s="6"/>
      <c r="Z192" s="6"/>
    </row>
    <row r="193" spans="1:26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  <c r="P193" s="3"/>
      <c r="Q193" s="3"/>
      <c r="R193" s="3"/>
      <c r="S193" s="88"/>
      <c r="T193" s="3"/>
      <c r="U193" s="3"/>
      <c r="V193" s="3"/>
      <c r="W193" s="6"/>
      <c r="X193" s="6"/>
      <c r="Y193" s="6"/>
      <c r="Z193" s="6"/>
    </row>
    <row r="194" spans="1:26">
      <c r="A194" s="3"/>
      <c r="B194" s="3"/>
      <c r="C194" s="2"/>
      <c r="D194" s="88"/>
      <c r="E194" s="3"/>
      <c r="F194" s="3"/>
      <c r="G194" s="3"/>
      <c r="H194" s="3"/>
      <c r="I194" s="3"/>
      <c r="J194" s="3"/>
      <c r="K194" s="2"/>
      <c r="L194" s="3"/>
      <c r="M194" s="3"/>
      <c r="N194" s="3"/>
      <c r="O194" s="6"/>
      <c r="P194" s="3"/>
      <c r="Q194" s="3"/>
      <c r="R194" s="3"/>
      <c r="S194" s="88"/>
      <c r="T194" s="3"/>
      <c r="U194" s="3"/>
      <c r="V194" s="3"/>
      <c r="W194" s="6"/>
      <c r="X194" s="6"/>
      <c r="Y194" s="6"/>
      <c r="Z194" s="6"/>
    </row>
    <row r="195" spans="1:26">
      <c r="A195" s="3"/>
      <c r="B195" s="3"/>
      <c r="C195" s="2"/>
      <c r="D195" s="88"/>
      <c r="E195" s="3"/>
      <c r="F195" s="3"/>
      <c r="G195" s="3"/>
      <c r="H195" s="3"/>
      <c r="I195" s="3"/>
      <c r="J195" s="3"/>
      <c r="K195" s="2"/>
      <c r="L195" s="3"/>
      <c r="M195" s="3"/>
      <c r="N195" s="3"/>
      <c r="O195" s="6"/>
    </row>
    <row r="196" spans="1:26">
      <c r="A196" s="3"/>
      <c r="B196" s="3"/>
      <c r="C196" s="2"/>
      <c r="D196" s="88"/>
      <c r="E196" s="3"/>
      <c r="F196" s="3"/>
      <c r="G196" s="3"/>
      <c r="H196" s="3"/>
      <c r="I196" s="3"/>
      <c r="J196" s="3"/>
      <c r="K196" s="2"/>
      <c r="L196" s="3"/>
      <c r="M196" s="3"/>
      <c r="N196" s="3"/>
      <c r="O196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57:AC117 B12:B23 AB12:AC23 B25:B56 AB25:AC56">
    <cfRule type="expression" dxfId="643" priority="28">
      <formula>NOT(ISBLANK(INDIRECT("RC28",FALSE)))</formula>
    </cfRule>
  </conditionalFormatting>
  <conditionalFormatting sqref="C57:AC117 AB12:AC23 AB25:AC56">
    <cfRule type="expression" dxfId="642" priority="27" stopIfTrue="1">
      <formula>AND(ISBLANK(INDIRECT("RC2",FALSE)),NOT(ISBLANK(INDIRECT("RC3",FALSE))))</formula>
    </cfRule>
  </conditionalFormatting>
  <conditionalFormatting sqref="B24 AB24:AC24">
    <cfRule type="expression" dxfId="641" priority="26">
      <formula>NOT(ISBLANK(INDIRECT("RC28",FALSE)))</formula>
    </cfRule>
  </conditionalFormatting>
  <conditionalFormatting sqref="AB24:AC24">
    <cfRule type="expression" dxfId="640" priority="25" stopIfTrue="1">
      <formula>AND(ISBLANK(INDIRECT("RC2",FALSE)),NOT(ISBLANK(INDIRECT("RC3",FALSE))))</formula>
    </cfRule>
  </conditionalFormatting>
  <conditionalFormatting sqref="C12:AA56">
    <cfRule type="expression" dxfId="639" priority="3">
      <formula>NOT(ISBLANK(INDIRECT("RC28",FALSE)))</formula>
    </cfRule>
  </conditionalFormatting>
  <conditionalFormatting sqref="C12:AA56">
    <cfRule type="expression" dxfId="638" priority="4" stopIfTrue="1">
      <formula>AND(ISBLANK(INDIRECT("RC2",FALSE)),NOT(ISBLANK(INDIRECT("RC3",FALSE))))</formula>
    </cfRule>
  </conditionalFormatting>
  <conditionalFormatting sqref="C13:D13">
    <cfRule type="expression" dxfId="637" priority="5" stopIfTrue="1">
      <formula>AND(ISBLANK(INDIRECT("RC2",FALSE)),NOT(ISBLANK(INDIRECT("RC3",FALSE))))</formula>
    </cfRule>
  </conditionalFormatting>
  <conditionalFormatting sqref="C13:D13">
    <cfRule type="expression" dxfId="636" priority="6">
      <formula>NOT(ISBLANK(INDIRECT("RC28",FALSE)))</formula>
    </cfRule>
  </conditionalFormatting>
  <conditionalFormatting sqref="C14:D14">
    <cfRule type="expression" dxfId="635" priority="7" stopIfTrue="1">
      <formula>AND(ISBLANK(INDIRECT("RC2",FALSE)),NOT(ISBLANK(INDIRECT("RC3",FALSE))))</formula>
    </cfRule>
  </conditionalFormatting>
  <conditionalFormatting sqref="C14:D14">
    <cfRule type="expression" dxfId="634" priority="8">
      <formula>NOT(ISBLANK(INDIRECT("RC28",FALSE)))</formula>
    </cfRule>
  </conditionalFormatting>
  <conditionalFormatting sqref="C15:D15 AA15 C20:D20 C26:D26">
    <cfRule type="expression" dxfId="633" priority="9" stopIfTrue="1">
      <formula>AND(ISBLANK(INDIRECT("RC2",FALSE)),NOT(ISBLANK(INDIRECT("RC3",FALSE))))</formula>
    </cfRule>
  </conditionalFormatting>
  <conditionalFormatting sqref="C15:D15 AA15 C20:D20 C26:D26">
    <cfRule type="expression" dxfId="632" priority="10">
      <formula>NOT(ISBLANK(INDIRECT("RC28",FALSE)))</formula>
    </cfRule>
  </conditionalFormatting>
  <conditionalFormatting sqref="E20:AA21 C21:D21 E32:AA37 C33:D33 C35:D37">
    <cfRule type="expression" dxfId="631" priority="11">
      <formula>NOT(ISBLANK(INDIRECT("RC28",FALSE)))</formula>
    </cfRule>
  </conditionalFormatting>
  <conditionalFormatting sqref="E20:AA21 C21:D21 E32:AA37 C33:D33 C35:D37">
    <cfRule type="expression" dxfId="630" priority="12" stopIfTrue="1">
      <formula>AND(ISBLANK(INDIRECT("RC2",FALSE)),NOT(ISBLANK(INDIRECT("RC3",FALSE))))</formula>
    </cfRule>
  </conditionalFormatting>
  <conditionalFormatting sqref="C20:D20 C32:D32 C34:D34">
    <cfRule type="expression" dxfId="629" priority="13" stopIfTrue="1">
      <formula>AND(ISBLANK(INDIRECT("RC2",FALSE)),NOT(ISBLANK(INDIRECT("RC3",FALSE))))</formula>
    </cfRule>
  </conditionalFormatting>
  <conditionalFormatting sqref="C20:D20 C32:D32 C34:D34">
    <cfRule type="expression" dxfId="628" priority="14">
      <formula>NOT(ISBLANK(INDIRECT("RC28",FALSE)))</formula>
    </cfRule>
  </conditionalFormatting>
  <conditionalFormatting sqref="C21:D21 C33:D33 C35:D37">
    <cfRule type="expression" dxfId="627" priority="15" stopIfTrue="1">
      <formula>AND(ISBLANK(INDIRECT("RC2",FALSE)),NOT(ISBLANK(INDIRECT("RC3",FALSE))))</formula>
    </cfRule>
  </conditionalFormatting>
  <conditionalFormatting sqref="C21:D21 C33:D33 C35:D37">
    <cfRule type="expression" dxfId="626" priority="16">
      <formula>NOT(ISBLANK(INDIRECT("RC28",FALSE)))</formula>
    </cfRule>
  </conditionalFormatting>
  <conditionalFormatting sqref="C13:D13">
    <cfRule type="expression" dxfId="625" priority="17" stopIfTrue="1">
      <formula>AND(ISBLANK(INDIRECT("RC2",FALSE)),NOT(ISBLANK(INDIRECT("RC3",FALSE))))</formula>
    </cfRule>
  </conditionalFormatting>
  <conditionalFormatting sqref="C13:D13">
    <cfRule type="expression" dxfId="624" priority="18">
      <formula>NOT(ISBLANK(INDIRECT("RC28",FALSE)))</formula>
    </cfRule>
  </conditionalFormatting>
  <conditionalFormatting sqref="C29:D29 E25:AA25 C31:D31 E31:AA33 C33:D33">
    <cfRule type="expression" dxfId="623" priority="19">
      <formula>NOT(ISBLANK(INDIRECT("RC28",FALSE)))</formula>
    </cfRule>
  </conditionalFormatting>
  <conditionalFormatting sqref="C29:D29 E25:AA25 C31:D31 E31:AA33 C33:D33">
    <cfRule type="expression" dxfId="622" priority="20" stopIfTrue="1">
      <formula>AND(ISBLANK(INDIRECT("RC2",FALSE)),NOT(ISBLANK(INDIRECT("RC3",FALSE))))</formula>
    </cfRule>
  </conditionalFormatting>
  <conditionalFormatting sqref="C19:D19 AA19 C25:D25 C32:D32">
    <cfRule type="expression" dxfId="621" priority="21" stopIfTrue="1">
      <formula>AND(ISBLANK(INDIRECT("RC2",FALSE)),NOT(ISBLANK(INDIRECT("RC3",FALSE))))</formula>
    </cfRule>
  </conditionalFormatting>
  <conditionalFormatting sqref="C19:D19 AA19 C25:D25 C32:D32">
    <cfRule type="expression" dxfId="620" priority="22">
      <formula>NOT(ISBLANK(INDIRECT("RC28",FALSE)))</formula>
    </cfRule>
  </conditionalFormatting>
  <conditionalFormatting sqref="C29:D29 AA29 C31:D31 C33:D33">
    <cfRule type="expression" dxfId="619" priority="23" stopIfTrue="1">
      <formula>AND(ISBLANK(INDIRECT("RC2",FALSE)),NOT(ISBLANK(INDIRECT("RC3",FALSE))))</formula>
    </cfRule>
  </conditionalFormatting>
  <conditionalFormatting sqref="C29:D29 AA29 C31:D31 C33:D33">
    <cfRule type="expression" dxfId="618" priority="24">
      <formula>NOT(ISBLANK(INDIRECT("RC28",FALSE)))</formula>
    </cfRule>
  </conditionalFormatting>
  <conditionalFormatting sqref="Z26">
    <cfRule type="expression" dxfId="617" priority="1">
      <formula>NOT(ISBLANK(INDIRECT("RC28",FALSE)))</formula>
    </cfRule>
  </conditionalFormatting>
  <conditionalFormatting sqref="Z26">
    <cfRule type="expression" dxfId="616" priority="2" stopIfTrue="1">
      <formula>AND(ISBLANK(INDIRECT("RC2",FALSE)),NOT(ISBLANK(INDIRECT("RC3",FALSE))))</formula>
    </cfRule>
  </conditionalFormatting>
  <dataValidations count="6">
    <dataValidation type="list" allowBlank="1" showInputMessage="1" showErrorMessage="1" sqref="AC12:AC117" xr:uid="{00000000-0002-0000-0200-000000000000}">
      <formula1>"親,子"</formula1>
    </dataValidation>
    <dataValidation type="list" allowBlank="1" showErrorMessage="1" sqref="U12:U56" xr:uid="{00000000-0002-0000-0200-000001000000}">
      <formula1>"○"</formula1>
    </dataValidation>
    <dataValidation type="list" allowBlank="1" showErrorMessage="1" sqref="V12:V56" xr:uid="{00000000-0002-0000-0200-000002000000}">
      <formula1>"TEXT,VARCHAR,CHAR,NUMERIC,integer,boolean,bytea,DATE(時刻無),TIMESTAMP"</formula1>
    </dataValidation>
    <dataValidation type="list" allowBlank="1" showInputMessage="1" showErrorMessage="1" sqref="F11:T11" xr:uid="{00000000-0002-0000-0200-000003000000}">
      <formula1>"IN,uIN,BR,uBR"</formula1>
    </dataValidation>
    <dataValidation type="list" allowBlank="1" showInputMessage="1" showErrorMessage="1" sqref="V57:V117" xr:uid="{00000000-0002-0000-0200-000004000000}">
      <formula1>"TEXT,VARCHAR,CHAR,NUMERIC,integer,boolean,bytea,DATE(時刻無),TIMESTAMP"</formula1>
    </dataValidation>
    <dataValidation type="list" allowBlank="1" showInputMessage="1" showErrorMessage="1" sqref="J5:T5 U57:U117 AB12:AB117" xr:uid="{00000000-0002-0000-0200-000005000000}">
      <formula1>"○"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AG193"/>
  <sheetViews>
    <sheetView showGridLines="0" zoomScale="118" zoomScaleNormal="118" zoomScaleSheetLayoutView="100" workbookViewId="0">
      <selection activeCell="D26" sqref="D26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5" width="5.77734375" style="5" customWidth="1"/>
    <col min="26" max="26" width="8" style="5" bestFit="1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167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168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/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66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1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92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326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327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24">
        <f t="shared" ref="B12:B75" si="0">ROW()-11</f>
        <v>1</v>
      </c>
      <c r="C12" s="91" t="s">
        <v>153</v>
      </c>
      <c r="D12" s="92" t="s">
        <v>154</v>
      </c>
      <c r="E12" s="92">
        <v>1</v>
      </c>
      <c r="F12" s="92"/>
      <c r="G12" s="93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74</v>
      </c>
      <c r="W12" s="95"/>
      <c r="X12" s="92"/>
      <c r="Y12" s="96"/>
      <c r="Z12" s="96"/>
      <c r="AA12" s="97" t="s">
        <v>154</v>
      </c>
      <c r="AB12" s="40"/>
      <c r="AC12" s="40"/>
      <c r="AD12" s="27"/>
      <c r="AE12" s="27"/>
      <c r="AG12" s="4"/>
    </row>
    <row r="13" spans="1:33" s="21" customFormat="1">
      <c r="A13" s="25"/>
      <c r="B13" s="24">
        <f t="shared" si="0"/>
        <v>2</v>
      </c>
      <c r="C13" s="98" t="s">
        <v>155</v>
      </c>
      <c r="D13" s="99" t="s">
        <v>156</v>
      </c>
      <c r="E13" s="100"/>
      <c r="F13" s="100"/>
      <c r="G13" s="101"/>
      <c r="H13" s="101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2"/>
      <c r="V13" s="100" t="s">
        <v>103</v>
      </c>
      <c r="W13" s="100"/>
      <c r="X13" s="100"/>
      <c r="Y13" s="103"/>
      <c r="Z13" s="104">
        <v>6500</v>
      </c>
      <c r="AA13" s="105" t="s">
        <v>156</v>
      </c>
      <c r="AB13" s="40"/>
      <c r="AC13" s="40"/>
      <c r="AD13" s="42" t="s">
        <v>328</v>
      </c>
      <c r="AE13" s="33" t="s">
        <v>53</v>
      </c>
      <c r="AG13" s="4"/>
    </row>
    <row r="14" spans="1:33" s="21" customFormat="1">
      <c r="A14" s="25"/>
      <c r="B14" s="24">
        <f t="shared" si="0"/>
        <v>3</v>
      </c>
      <c r="C14" s="106" t="s">
        <v>157</v>
      </c>
      <c r="D14" s="100" t="s">
        <v>158</v>
      </c>
      <c r="E14" s="100"/>
      <c r="F14" s="100"/>
      <c r="G14" s="101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2"/>
      <c r="V14" s="100" t="s">
        <v>103</v>
      </c>
      <c r="W14" s="100"/>
      <c r="X14" s="100"/>
      <c r="Y14" s="103"/>
      <c r="Z14" s="104">
        <v>100</v>
      </c>
      <c r="AA14" s="105" t="s">
        <v>158</v>
      </c>
      <c r="AB14" s="40"/>
      <c r="AC14" s="40"/>
      <c r="AD14" s="27"/>
      <c r="AE14" s="33" t="s">
        <v>75</v>
      </c>
      <c r="AF14" s="4"/>
      <c r="AG14" s="4"/>
    </row>
    <row r="15" spans="1:33" s="21" customFormat="1">
      <c r="A15" s="25"/>
      <c r="B15" s="24">
        <f t="shared" si="0"/>
        <v>4</v>
      </c>
      <c r="C15" s="106" t="s">
        <v>159</v>
      </c>
      <c r="D15" s="100" t="s">
        <v>160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2"/>
      <c r="V15" s="100" t="s">
        <v>103</v>
      </c>
      <c r="W15" s="100"/>
      <c r="X15" s="100"/>
      <c r="Y15" s="103"/>
      <c r="Z15" s="103">
        <v>130000</v>
      </c>
      <c r="AA15" s="105" t="s">
        <v>160</v>
      </c>
      <c r="AB15" s="40"/>
      <c r="AC15" s="40"/>
      <c r="AD15" s="27"/>
      <c r="AE15" s="33" t="s">
        <v>329</v>
      </c>
      <c r="AF15" s="4"/>
      <c r="AG15" s="4"/>
    </row>
    <row r="16" spans="1:33" s="21" customFormat="1">
      <c r="A16" s="25"/>
      <c r="B16" s="24">
        <f t="shared" si="0"/>
        <v>5</v>
      </c>
      <c r="C16" s="98" t="s">
        <v>161</v>
      </c>
      <c r="D16" s="99" t="s">
        <v>162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2"/>
      <c r="V16" s="100" t="s">
        <v>103</v>
      </c>
      <c r="W16" s="107"/>
      <c r="X16" s="100"/>
      <c r="Y16" s="103"/>
      <c r="Z16" s="103">
        <v>4200</v>
      </c>
      <c r="AA16" s="105" t="s">
        <v>162</v>
      </c>
      <c r="AB16" s="40"/>
      <c r="AC16" s="40"/>
      <c r="AD16" s="23"/>
      <c r="AE16" s="33" t="s">
        <v>297</v>
      </c>
      <c r="AF16" s="4"/>
      <c r="AG16" s="4"/>
    </row>
    <row r="17" spans="1:33" s="21" customFormat="1">
      <c r="A17" s="25"/>
      <c r="B17" s="24">
        <f t="shared" si="0"/>
        <v>6</v>
      </c>
      <c r="C17" s="98" t="s">
        <v>163</v>
      </c>
      <c r="D17" s="99" t="s">
        <v>164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2"/>
      <c r="V17" s="100" t="s">
        <v>103</v>
      </c>
      <c r="W17" s="100"/>
      <c r="X17" s="100"/>
      <c r="Y17" s="103"/>
      <c r="Z17" s="104">
        <v>672000</v>
      </c>
      <c r="AA17" s="105" t="s">
        <v>164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24">
        <f t="shared" si="0"/>
        <v>7</v>
      </c>
      <c r="C18" s="106" t="s">
        <v>68</v>
      </c>
      <c r="D18" s="100" t="s">
        <v>87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2" t="s">
        <v>27</v>
      </c>
      <c r="V18" s="100" t="s">
        <v>28</v>
      </c>
      <c r="W18" s="107">
        <v>1</v>
      </c>
      <c r="X18" s="100"/>
      <c r="Y18" s="103"/>
      <c r="Z18" s="103"/>
      <c r="AA18" s="105" t="s">
        <v>87</v>
      </c>
      <c r="AB18" s="40"/>
      <c r="AC18" s="40"/>
      <c r="AD18" s="32" t="s">
        <v>330</v>
      </c>
      <c r="AE18" s="33" t="s">
        <v>14</v>
      </c>
      <c r="AF18" s="4"/>
      <c r="AG18" s="4"/>
    </row>
    <row r="19" spans="1:33" s="21" customFormat="1">
      <c r="A19" s="25"/>
      <c r="B19" s="24">
        <f t="shared" si="0"/>
        <v>8</v>
      </c>
      <c r="C19" s="106" t="s">
        <v>69</v>
      </c>
      <c r="D19" s="100" t="s">
        <v>88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2" t="s">
        <v>27</v>
      </c>
      <c r="V19" s="100" t="s">
        <v>29</v>
      </c>
      <c r="W19" s="100"/>
      <c r="X19" s="100"/>
      <c r="Y19" s="103"/>
      <c r="Z19" s="104"/>
      <c r="AA19" s="105" t="s">
        <v>88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24">
        <f t="shared" si="0"/>
        <v>9</v>
      </c>
      <c r="C20" s="106" t="s">
        <v>70</v>
      </c>
      <c r="D20" s="100" t="s">
        <v>89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2" t="s">
        <v>27</v>
      </c>
      <c r="V20" s="100" t="s">
        <v>33</v>
      </c>
      <c r="W20" s="107">
        <v>20</v>
      </c>
      <c r="X20" s="100"/>
      <c r="Y20" s="103"/>
      <c r="Z20" s="103">
        <v>15</v>
      </c>
      <c r="AA20" s="105" t="s">
        <v>89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24">
        <f t="shared" si="0"/>
        <v>10</v>
      </c>
      <c r="C21" s="15" t="s">
        <v>71</v>
      </c>
      <c r="D21" s="13" t="s">
        <v>90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7" t="s">
        <v>27</v>
      </c>
      <c r="V21" s="34" t="s">
        <v>29</v>
      </c>
      <c r="W21" s="18"/>
      <c r="X21" s="16"/>
      <c r="Y21" s="19"/>
      <c r="Z21" s="19"/>
      <c r="AA21" s="20" t="s">
        <v>90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24">
        <f t="shared" si="0"/>
        <v>11</v>
      </c>
      <c r="C22" s="15" t="s">
        <v>72</v>
      </c>
      <c r="D22" s="13" t="s">
        <v>91</v>
      </c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7" t="s">
        <v>27</v>
      </c>
      <c r="V22" s="12" t="s">
        <v>33</v>
      </c>
      <c r="W22" s="18">
        <v>20</v>
      </c>
      <c r="X22" s="16"/>
      <c r="Y22" s="19"/>
      <c r="Z22" s="19">
        <v>15</v>
      </c>
      <c r="AA22" s="20" t="s">
        <v>91</v>
      </c>
      <c r="AB22" s="40"/>
      <c r="AC22" s="40"/>
      <c r="AD22" s="27"/>
      <c r="AE22" s="27"/>
      <c r="AF22" s="4"/>
      <c r="AG22" s="4"/>
    </row>
    <row r="23" spans="1:33" s="21" customFormat="1">
      <c r="A23" s="25"/>
      <c r="B23" s="24">
        <f t="shared" si="0"/>
        <v>12</v>
      </c>
      <c r="C23" s="15" t="s">
        <v>73</v>
      </c>
      <c r="D23" s="13" t="s">
        <v>78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7" t="s">
        <v>27</v>
      </c>
      <c r="V23" s="12" t="s">
        <v>74</v>
      </c>
      <c r="W23" s="18"/>
      <c r="X23" s="16"/>
      <c r="Y23" s="19"/>
      <c r="Z23" s="19"/>
      <c r="AA23" s="20" t="s">
        <v>78</v>
      </c>
      <c r="AB23" s="40"/>
      <c r="AC23" s="40"/>
      <c r="AD23" s="27"/>
      <c r="AE23" s="27"/>
      <c r="AF23" s="4"/>
      <c r="AG23" s="4"/>
    </row>
    <row r="24" spans="1:33" s="21" customFormat="1">
      <c r="A24" s="25"/>
      <c r="B24" s="24">
        <f t="shared" si="0"/>
        <v>13</v>
      </c>
      <c r="C24" s="15" t="s">
        <v>165</v>
      </c>
      <c r="D24" s="13" t="s">
        <v>166</v>
      </c>
      <c r="E24" s="16"/>
      <c r="F24" s="16"/>
      <c r="G24" s="2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7"/>
      <c r="V24" s="12" t="s">
        <v>103</v>
      </c>
      <c r="W24" s="18"/>
      <c r="X24" s="16"/>
      <c r="Y24" s="19"/>
      <c r="Z24" s="19">
        <v>300</v>
      </c>
      <c r="AA24" s="20" t="s">
        <v>166</v>
      </c>
      <c r="AB24" s="40"/>
      <c r="AC24" s="40"/>
      <c r="AD24" s="23"/>
      <c r="AE24" s="23"/>
      <c r="AF24" s="4"/>
      <c r="AG24" s="4"/>
    </row>
    <row r="25" spans="1:33" s="21" customFormat="1">
      <c r="A25" s="25"/>
      <c r="B25" s="24">
        <f t="shared" si="0"/>
        <v>14</v>
      </c>
      <c r="C25" s="15"/>
      <c r="D25" s="5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59"/>
      <c r="V25" s="34"/>
      <c r="W25" s="68"/>
      <c r="X25" s="26"/>
      <c r="Y25" s="35"/>
      <c r="Z25" s="35"/>
      <c r="AA25" s="43"/>
      <c r="AB25" s="40"/>
      <c r="AC25" s="40"/>
      <c r="AD25" s="23"/>
      <c r="AE25" s="23"/>
      <c r="AF25" s="4"/>
      <c r="AG25" s="4"/>
    </row>
    <row r="26" spans="1:33" s="21" customFormat="1">
      <c r="A26" s="25"/>
      <c r="B26" s="24">
        <f t="shared" si="0"/>
        <v>15</v>
      </c>
      <c r="C26" s="15"/>
      <c r="D26" s="5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59"/>
      <c r="V26" s="34"/>
      <c r="W26" s="68"/>
      <c r="X26" s="26"/>
      <c r="Y26" s="35"/>
      <c r="Z26" s="35"/>
      <c r="AA26" s="43"/>
      <c r="AB26" s="40"/>
      <c r="AC26" s="40"/>
      <c r="AD26" s="23"/>
      <c r="AE26" s="23"/>
      <c r="AF26" s="4"/>
      <c r="AG26" s="4"/>
    </row>
    <row r="27" spans="1:33" s="21" customFormat="1">
      <c r="A27" s="25"/>
      <c r="B27" s="24">
        <f t="shared" si="0"/>
        <v>16</v>
      </c>
      <c r="C27" s="15"/>
      <c r="D27" s="5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59"/>
      <c r="V27" s="34"/>
      <c r="W27" s="68"/>
      <c r="X27" s="26"/>
      <c r="Y27" s="35"/>
      <c r="Z27" s="35"/>
      <c r="AA27" s="43"/>
      <c r="AB27" s="40"/>
      <c r="AC27" s="40"/>
      <c r="AD27" s="23"/>
      <c r="AE27" s="23"/>
      <c r="AF27" s="4"/>
      <c r="AG27" s="4"/>
    </row>
    <row r="28" spans="1:33" s="21" customFormat="1">
      <c r="A28" s="25"/>
      <c r="B28" s="24">
        <f t="shared" si="0"/>
        <v>17</v>
      </c>
      <c r="C28" s="15"/>
      <c r="D28" s="5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59"/>
      <c r="V28" s="34"/>
      <c r="W28" s="68"/>
      <c r="X28" s="26"/>
      <c r="Y28" s="35"/>
      <c r="Z28" s="35"/>
      <c r="AA28" s="43"/>
      <c r="AB28" s="40"/>
      <c r="AC28" s="40"/>
      <c r="AD28" s="23"/>
      <c r="AE28" s="23"/>
      <c r="AF28" s="4"/>
      <c r="AG28" s="4"/>
    </row>
    <row r="29" spans="1:33" s="21" customFormat="1">
      <c r="A29" s="25"/>
      <c r="B29" s="24">
        <f t="shared" si="0"/>
        <v>18</v>
      </c>
      <c r="C29" s="15"/>
      <c r="D29" s="5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59"/>
      <c r="V29" s="34"/>
      <c r="W29" s="68"/>
      <c r="X29" s="26"/>
      <c r="Y29" s="35"/>
      <c r="Z29" s="35"/>
      <c r="AA29" s="43"/>
      <c r="AB29" s="40"/>
      <c r="AC29" s="40"/>
      <c r="AD29" s="23"/>
      <c r="AE29" s="23"/>
      <c r="AF29" s="4"/>
      <c r="AG29" s="4"/>
    </row>
    <row r="30" spans="1:33" s="21" customFormat="1">
      <c r="A30" s="25"/>
      <c r="B30" s="24">
        <f t="shared" si="0"/>
        <v>19</v>
      </c>
      <c r="C30" s="15"/>
      <c r="D30" s="5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59"/>
      <c r="V30" s="34"/>
      <c r="W30" s="68"/>
      <c r="X30" s="26"/>
      <c r="Y30" s="35"/>
      <c r="Z30" s="35"/>
      <c r="AA30" s="43"/>
      <c r="AB30" s="40"/>
      <c r="AC30" s="40"/>
      <c r="AD30" s="23"/>
      <c r="AE30" s="23"/>
      <c r="AF30" s="4"/>
      <c r="AG30" s="4"/>
    </row>
    <row r="31" spans="1:33" s="21" customFormat="1">
      <c r="A31" s="25"/>
      <c r="B31" s="24">
        <f t="shared" si="0"/>
        <v>20</v>
      </c>
      <c r="C31" s="15"/>
      <c r="D31" s="5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59"/>
      <c r="V31" s="34"/>
      <c r="W31" s="68"/>
      <c r="X31" s="26"/>
      <c r="Y31" s="35"/>
      <c r="Z31" s="35"/>
      <c r="AA31" s="43"/>
      <c r="AB31" s="40"/>
      <c r="AC31" s="40"/>
      <c r="AD31" s="23"/>
      <c r="AE31" s="23"/>
      <c r="AF31" s="4"/>
      <c r="AG31" s="4"/>
    </row>
    <row r="32" spans="1:33" s="21" customFormat="1">
      <c r="A32" s="25"/>
      <c r="B32" s="24">
        <f t="shared" si="0"/>
        <v>21</v>
      </c>
      <c r="C32" s="15"/>
      <c r="D32" s="5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59"/>
      <c r="V32" s="34"/>
      <c r="W32" s="68"/>
      <c r="X32" s="26"/>
      <c r="Y32" s="35"/>
      <c r="Z32" s="35"/>
      <c r="AA32" s="43"/>
      <c r="AB32" s="40"/>
      <c r="AC32" s="40"/>
      <c r="AD32" s="23"/>
      <c r="AE32" s="23"/>
      <c r="AF32" s="4"/>
      <c r="AG32" s="4"/>
    </row>
    <row r="33" spans="1:33" s="21" customFormat="1">
      <c r="A33" s="25"/>
      <c r="B33" s="24">
        <f t="shared" si="0"/>
        <v>22</v>
      </c>
      <c r="C33" s="15"/>
      <c r="D33" s="5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59"/>
      <c r="V33" s="34"/>
      <c r="W33" s="68"/>
      <c r="X33" s="26"/>
      <c r="Y33" s="35"/>
      <c r="Z33" s="35"/>
      <c r="AA33" s="43"/>
      <c r="AB33" s="40"/>
      <c r="AC33" s="40"/>
      <c r="AD33" s="23"/>
      <c r="AE33" s="23"/>
      <c r="AF33" s="4"/>
      <c r="AG33" s="4"/>
    </row>
    <row r="34" spans="1:33" s="21" customFormat="1">
      <c r="A34" s="25"/>
      <c r="B34" s="24">
        <f t="shared" si="0"/>
        <v>23</v>
      </c>
      <c r="C34" s="15"/>
      <c r="D34" s="5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59"/>
      <c r="V34" s="34"/>
      <c r="W34" s="68"/>
      <c r="X34" s="26"/>
      <c r="Y34" s="35"/>
      <c r="Z34" s="35"/>
      <c r="AA34" s="43"/>
      <c r="AB34" s="40"/>
      <c r="AC34" s="40"/>
      <c r="AD34" s="23"/>
      <c r="AE34" s="23"/>
      <c r="AF34" s="4"/>
      <c r="AG34" s="4"/>
    </row>
    <row r="35" spans="1:33" s="21" customFormat="1">
      <c r="A35" s="25"/>
      <c r="B35" s="24">
        <f t="shared" si="0"/>
        <v>24</v>
      </c>
      <c r="C35" s="15"/>
      <c r="D35" s="5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59"/>
      <c r="V35" s="34"/>
      <c r="W35" s="68"/>
      <c r="X35" s="26"/>
      <c r="Y35" s="35"/>
      <c r="Z35" s="35"/>
      <c r="AA35" s="43"/>
      <c r="AB35" s="40"/>
      <c r="AC35" s="40"/>
      <c r="AD35" s="23"/>
      <c r="AE35" s="23"/>
      <c r="AF35" s="4"/>
      <c r="AG35" s="4"/>
    </row>
    <row r="36" spans="1:33" s="21" customFormat="1">
      <c r="A36" s="25"/>
      <c r="B36" s="24">
        <f t="shared" si="0"/>
        <v>25</v>
      </c>
      <c r="C36" s="15"/>
      <c r="D36" s="5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59"/>
      <c r="V36" s="34"/>
      <c r="W36" s="68"/>
      <c r="X36" s="26"/>
      <c r="Y36" s="35"/>
      <c r="Z36" s="35"/>
      <c r="AA36" s="43"/>
      <c r="AB36" s="40"/>
      <c r="AC36" s="40"/>
      <c r="AD36" s="23"/>
      <c r="AE36" s="23"/>
      <c r="AF36" s="4"/>
      <c r="AG36" s="4"/>
    </row>
    <row r="37" spans="1:33" s="21" customFormat="1">
      <c r="A37" s="25"/>
      <c r="B37" s="24">
        <f t="shared" si="0"/>
        <v>26</v>
      </c>
      <c r="C37" s="15"/>
      <c r="D37" s="5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59"/>
      <c r="V37" s="34"/>
      <c r="W37" s="68"/>
      <c r="X37" s="26"/>
      <c r="Y37" s="35"/>
      <c r="Z37" s="35"/>
      <c r="AA37" s="43"/>
      <c r="AB37" s="40"/>
      <c r="AC37" s="40"/>
      <c r="AD37" s="23"/>
      <c r="AE37" s="23"/>
      <c r="AF37" s="4"/>
      <c r="AG37" s="4"/>
    </row>
    <row r="38" spans="1:33" s="21" customFormat="1">
      <c r="A38" s="25"/>
      <c r="B38" s="24">
        <f t="shared" si="0"/>
        <v>27</v>
      </c>
      <c r="C38" s="15"/>
      <c r="D38" s="5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59"/>
      <c r="V38" s="34"/>
      <c r="W38" s="68"/>
      <c r="X38" s="26"/>
      <c r="Y38" s="35"/>
      <c r="Z38" s="35"/>
      <c r="AA38" s="43"/>
      <c r="AB38" s="40"/>
      <c r="AC38" s="40"/>
      <c r="AD38" s="23"/>
      <c r="AE38" s="23"/>
      <c r="AF38" s="4"/>
      <c r="AG38" s="4"/>
    </row>
    <row r="39" spans="1:33" s="21" customFormat="1">
      <c r="A39" s="25"/>
      <c r="B39" s="24">
        <f t="shared" si="0"/>
        <v>28</v>
      </c>
      <c r="C39" s="15"/>
      <c r="D39" s="5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59"/>
      <c r="V39" s="34"/>
      <c r="W39" s="68"/>
      <c r="X39" s="26"/>
      <c r="Y39" s="35"/>
      <c r="Z39" s="35"/>
      <c r="AA39" s="43"/>
      <c r="AB39" s="40"/>
      <c r="AC39" s="40"/>
      <c r="AD39" s="23"/>
      <c r="AE39" s="23"/>
      <c r="AF39" s="4"/>
      <c r="AG39" s="4"/>
    </row>
    <row r="40" spans="1:33" s="21" customFormat="1">
      <c r="A40" s="25"/>
      <c r="B40" s="24">
        <f t="shared" si="0"/>
        <v>29</v>
      </c>
      <c r="C40" s="15"/>
      <c r="D40" s="5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59"/>
      <c r="V40" s="34"/>
      <c r="W40" s="68"/>
      <c r="X40" s="26"/>
      <c r="Y40" s="35"/>
      <c r="Z40" s="35"/>
      <c r="AA40" s="43"/>
      <c r="AB40" s="40"/>
      <c r="AC40" s="40"/>
      <c r="AD40" s="23"/>
      <c r="AE40" s="23"/>
      <c r="AF40" s="4"/>
      <c r="AG40" s="4"/>
    </row>
    <row r="41" spans="1:33" s="21" customFormat="1">
      <c r="A41" s="25"/>
      <c r="B41" s="24">
        <f t="shared" si="0"/>
        <v>30</v>
      </c>
      <c r="C41" s="15"/>
      <c r="D41" s="5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59"/>
      <c r="V41" s="34"/>
      <c r="W41" s="68"/>
      <c r="X41" s="26"/>
      <c r="Y41" s="35"/>
      <c r="Z41" s="35"/>
      <c r="AA41" s="43"/>
      <c r="AB41" s="40"/>
      <c r="AC41" s="40"/>
      <c r="AD41" s="23"/>
      <c r="AE41" s="23"/>
      <c r="AF41" s="4"/>
      <c r="AG41" s="4"/>
    </row>
    <row r="42" spans="1:33" s="21" customFormat="1">
      <c r="A42" s="25"/>
      <c r="B42" s="24">
        <f t="shared" si="0"/>
        <v>31</v>
      </c>
      <c r="C42" s="15"/>
      <c r="D42" s="5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59"/>
      <c r="V42" s="34"/>
      <c r="W42" s="68"/>
      <c r="X42" s="26"/>
      <c r="Y42" s="35"/>
      <c r="Z42" s="35"/>
      <c r="AA42" s="43"/>
      <c r="AB42" s="40"/>
      <c r="AC42" s="40"/>
      <c r="AD42" s="23"/>
      <c r="AE42" s="23"/>
      <c r="AF42" s="4"/>
      <c r="AG42" s="4"/>
    </row>
    <row r="43" spans="1:33" s="21" customFormat="1">
      <c r="A43" s="25"/>
      <c r="B43" s="24">
        <f t="shared" si="0"/>
        <v>32</v>
      </c>
      <c r="C43" s="15"/>
      <c r="D43" s="5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59"/>
      <c r="V43" s="34"/>
      <c r="W43" s="68"/>
      <c r="X43" s="26"/>
      <c r="Y43" s="35"/>
      <c r="Z43" s="35"/>
      <c r="AA43" s="43"/>
      <c r="AB43" s="40"/>
      <c r="AC43" s="40"/>
      <c r="AD43" s="23"/>
      <c r="AE43" s="23"/>
      <c r="AF43" s="4"/>
      <c r="AG43" s="4"/>
    </row>
    <row r="44" spans="1:33" s="21" customFormat="1">
      <c r="A44" s="25"/>
      <c r="B44" s="24">
        <f t="shared" si="0"/>
        <v>33</v>
      </c>
      <c r="C44" s="15"/>
      <c r="D44" s="5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59"/>
      <c r="V44" s="34"/>
      <c r="W44" s="70"/>
      <c r="X44" s="26"/>
      <c r="Y44" s="35"/>
      <c r="Z44" s="35"/>
      <c r="AA44" s="43"/>
      <c r="AB44" s="40"/>
      <c r="AC44" s="40"/>
      <c r="AD44" s="23"/>
      <c r="AE44" s="23"/>
      <c r="AF44" s="4"/>
      <c r="AG44" s="4"/>
    </row>
    <row r="45" spans="1:33" s="21" customFormat="1">
      <c r="A45" s="25"/>
      <c r="B45" s="24">
        <f t="shared" si="0"/>
        <v>34</v>
      </c>
      <c r="C45" s="15"/>
      <c r="D45" s="5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59"/>
      <c r="V45" s="34"/>
      <c r="W45" s="70"/>
      <c r="X45" s="26"/>
      <c r="Y45" s="35"/>
      <c r="Z45" s="35"/>
      <c r="AA45" s="43"/>
      <c r="AB45" s="40"/>
      <c r="AC45" s="40"/>
      <c r="AD45" s="23"/>
      <c r="AE45" s="23"/>
      <c r="AF45" s="4"/>
      <c r="AG45" s="4"/>
    </row>
    <row r="46" spans="1:33" s="21" customFormat="1">
      <c r="A46" s="25"/>
      <c r="B46" s="24">
        <f t="shared" si="0"/>
        <v>35</v>
      </c>
      <c r="C46" s="15"/>
      <c r="D46" s="5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59"/>
      <c r="V46" s="34"/>
      <c r="W46" s="70"/>
      <c r="X46" s="26"/>
      <c r="Y46" s="35"/>
      <c r="Z46" s="35"/>
      <c r="AA46" s="43"/>
      <c r="AB46" s="40"/>
      <c r="AC46" s="40"/>
      <c r="AD46" s="23"/>
      <c r="AE46" s="23"/>
      <c r="AF46" s="4"/>
      <c r="AG46" s="4"/>
    </row>
    <row r="47" spans="1:33" s="21" customFormat="1">
      <c r="A47" s="25"/>
      <c r="B47" s="24">
        <f t="shared" si="0"/>
        <v>36</v>
      </c>
      <c r="C47" s="15"/>
      <c r="D47" s="5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59"/>
      <c r="V47" s="34"/>
      <c r="W47" s="70"/>
      <c r="X47" s="26"/>
      <c r="Y47" s="35"/>
      <c r="Z47" s="35"/>
      <c r="AA47" s="43"/>
      <c r="AB47" s="40"/>
      <c r="AC47" s="40"/>
      <c r="AD47" s="23"/>
      <c r="AE47" s="23"/>
      <c r="AF47" s="4"/>
      <c r="AG47" s="4"/>
    </row>
    <row r="48" spans="1:33" s="21" customFormat="1">
      <c r="A48" s="25"/>
      <c r="B48" s="24">
        <f t="shared" si="0"/>
        <v>37</v>
      </c>
      <c r="C48" s="15"/>
      <c r="D48" s="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59"/>
      <c r="V48" s="34"/>
      <c r="W48" s="70"/>
      <c r="X48" s="26"/>
      <c r="Y48" s="35"/>
      <c r="Z48" s="35"/>
      <c r="AA48" s="43"/>
      <c r="AB48" s="40"/>
      <c r="AC48" s="40"/>
      <c r="AD48" s="23"/>
      <c r="AE48" s="23"/>
      <c r="AF48" s="4"/>
      <c r="AG48" s="4"/>
    </row>
    <row r="49" spans="1:33" s="21" customFormat="1">
      <c r="A49" s="25"/>
      <c r="B49" s="24">
        <f t="shared" si="0"/>
        <v>38</v>
      </c>
      <c r="C49" s="15"/>
      <c r="D49" s="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59"/>
      <c r="V49" s="26"/>
      <c r="W49" s="68"/>
      <c r="X49" s="26"/>
      <c r="Y49" s="35"/>
      <c r="Z49" s="35"/>
      <c r="AA49" s="43"/>
      <c r="AB49" s="40"/>
      <c r="AC49" s="40"/>
      <c r="AD49" s="23"/>
      <c r="AE49" s="23"/>
      <c r="AF49" s="4"/>
      <c r="AG49" s="4"/>
    </row>
    <row r="50" spans="1:33" s="21" customFormat="1">
      <c r="A50" s="25"/>
      <c r="B50" s="24">
        <f t="shared" si="0"/>
        <v>39</v>
      </c>
      <c r="C50" s="71"/>
      <c r="D50" s="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59"/>
      <c r="V50" s="26"/>
      <c r="W50" s="26"/>
      <c r="X50" s="26"/>
      <c r="Y50" s="35"/>
      <c r="Z50" s="35"/>
      <c r="AA50" s="43"/>
      <c r="AB50" s="40"/>
      <c r="AC50" s="40"/>
      <c r="AD50" s="23"/>
      <c r="AE50" s="23"/>
      <c r="AF50" s="4"/>
      <c r="AG50" s="4"/>
    </row>
    <row r="51" spans="1:33" s="21" customFormat="1">
      <c r="A51" s="25"/>
      <c r="B51" s="24">
        <f t="shared" si="0"/>
        <v>40</v>
      </c>
      <c r="C51" s="71"/>
      <c r="D51" s="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59"/>
      <c r="V51" s="72"/>
      <c r="W51" s="26"/>
      <c r="X51" s="26"/>
      <c r="Y51" s="35"/>
      <c r="Z51" s="35"/>
      <c r="AA51" s="43"/>
      <c r="AB51" s="40"/>
      <c r="AC51" s="40"/>
      <c r="AD51" s="23"/>
      <c r="AE51" s="23"/>
      <c r="AF51" s="4"/>
      <c r="AG51" s="4"/>
    </row>
    <row r="52" spans="1:33" s="21" customFormat="1">
      <c r="A52" s="25"/>
      <c r="B52" s="24">
        <f t="shared" si="0"/>
        <v>41</v>
      </c>
      <c r="C52" s="71"/>
      <c r="D52" s="5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59"/>
      <c r="V52" s="26"/>
      <c r="W52" s="26"/>
      <c r="X52" s="26"/>
      <c r="Y52" s="35"/>
      <c r="Z52" s="35"/>
      <c r="AA52" s="43"/>
      <c r="AB52" s="40"/>
      <c r="AC52" s="40"/>
      <c r="AD52" s="23"/>
      <c r="AE52" s="23"/>
      <c r="AF52" s="4"/>
      <c r="AG52" s="4"/>
    </row>
    <row r="53" spans="1:33" s="21" customFormat="1">
      <c r="A53" s="25"/>
      <c r="B53" s="24">
        <f t="shared" si="0"/>
        <v>42</v>
      </c>
      <c r="C53" s="71"/>
      <c r="D53" s="5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59"/>
      <c r="V53" s="72"/>
      <c r="W53" s="26"/>
      <c r="X53" s="26"/>
      <c r="Y53" s="35"/>
      <c r="Z53" s="35"/>
      <c r="AA53" s="43"/>
      <c r="AB53" s="40"/>
      <c r="AC53" s="40"/>
      <c r="AD53" s="23"/>
      <c r="AE53" s="23"/>
      <c r="AF53" s="4"/>
      <c r="AG53" s="4"/>
    </row>
    <row r="54" spans="1:33" s="21" customFormat="1">
      <c r="A54" s="25"/>
      <c r="B54" s="24">
        <f t="shared" si="0"/>
        <v>43</v>
      </c>
      <c r="C54" s="34"/>
      <c r="D54" s="5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59"/>
      <c r="V54" s="72"/>
      <c r="W54" s="68"/>
      <c r="X54" s="26"/>
      <c r="Y54" s="35"/>
      <c r="Z54" s="35"/>
      <c r="AA54" s="43"/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0"/>
        <v>44</v>
      </c>
      <c r="C55" s="34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68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0"/>
        <v>45</v>
      </c>
      <c r="C56" s="15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34"/>
      <c r="W56" s="70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26"/>
      <c r="W57" s="68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71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26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26:AC114 B12:B24 AB12:AC24">
    <cfRule type="expression" dxfId="615" priority="26">
      <formula>NOT(ISBLANK(INDIRECT("RC28",FALSE)))</formula>
    </cfRule>
  </conditionalFormatting>
  <conditionalFormatting sqref="C26:AC114 AB12:AC24">
    <cfRule type="expression" dxfId="614" priority="25" stopIfTrue="1">
      <formula>AND(ISBLANK(INDIRECT("RC2",FALSE)),NOT(ISBLANK(INDIRECT("RC3",FALSE))))</formula>
    </cfRule>
  </conditionalFormatting>
  <conditionalFormatting sqref="C21:AA24">
    <cfRule type="expression" dxfId="613" priority="24">
      <formula>NOT(ISBLANK(INDIRECT("RC28",FALSE)))</formula>
    </cfRule>
  </conditionalFormatting>
  <conditionalFormatting sqref="C21:AA24">
    <cfRule type="expression" dxfId="612" priority="23" stopIfTrue="1">
      <formula>AND(ISBLANK(INDIRECT("RC2",FALSE)),NOT(ISBLANK(INDIRECT("RC3",FALSE))))</formula>
    </cfRule>
  </conditionalFormatting>
  <conditionalFormatting sqref="B25 AB25:AC25">
    <cfRule type="expression" dxfId="611" priority="22">
      <formula>NOT(ISBLANK(INDIRECT("RC28",FALSE)))</formula>
    </cfRule>
  </conditionalFormatting>
  <conditionalFormatting sqref="AB25:AC25">
    <cfRule type="expression" dxfId="610" priority="21" stopIfTrue="1">
      <formula>AND(ISBLANK(INDIRECT("RC2",FALSE)),NOT(ISBLANK(INDIRECT("RC3",FALSE))))</formula>
    </cfRule>
  </conditionalFormatting>
  <conditionalFormatting sqref="C25:AA25">
    <cfRule type="expression" dxfId="609" priority="20">
      <formula>NOT(ISBLANK(INDIRECT("RC28",FALSE)))</formula>
    </cfRule>
  </conditionalFormatting>
  <conditionalFormatting sqref="C25:AA25">
    <cfRule type="expression" dxfId="608" priority="19" stopIfTrue="1">
      <formula>AND(ISBLANK(INDIRECT("RC2",FALSE)),NOT(ISBLANK(INDIRECT("RC3",FALSE))))</formula>
    </cfRule>
  </conditionalFormatting>
  <conditionalFormatting sqref="C12:AA12 E13:AA13 C14:AA14">
    <cfRule type="expression" dxfId="607" priority="15">
      <formula>NOT(ISBLANK(INDIRECT("RC28",FALSE)))</formula>
    </cfRule>
  </conditionalFormatting>
  <conditionalFormatting sqref="C12:AA12 E13:AA13 C14:AA14">
    <cfRule type="expression" dxfId="606" priority="16" stopIfTrue="1">
      <formula>AND(ISBLANK(INDIRECT("RC2",FALSE)),NOT(ISBLANK(INDIRECT("RC3",FALSE))))</formula>
    </cfRule>
  </conditionalFormatting>
  <conditionalFormatting sqref="C13:D13">
    <cfRule type="expression" dxfId="605" priority="17" stopIfTrue="1">
      <formula>AND(ISBLANK(INDIRECT("RC2",FALSE)),NOT(ISBLANK(INDIRECT("RC3",FALSE))))</formula>
    </cfRule>
  </conditionalFormatting>
  <conditionalFormatting sqref="C13:D13">
    <cfRule type="expression" dxfId="604" priority="18">
      <formula>NOT(ISBLANK(INDIRECT("RC28",FALSE)))</formula>
    </cfRule>
  </conditionalFormatting>
  <conditionalFormatting sqref="C15:AA20">
    <cfRule type="expression" dxfId="603" priority="1">
      <formula>NOT(ISBLANK(INDIRECT("RC28",FALSE)))</formula>
    </cfRule>
  </conditionalFormatting>
  <conditionalFormatting sqref="C15:AA20">
    <cfRule type="expression" dxfId="602" priority="2" stopIfTrue="1">
      <formula>AND(ISBLANK(INDIRECT("RC2",FALSE)),NOT(ISBLANK(INDIRECT("RC3",FALSE))))</formula>
    </cfRule>
  </conditionalFormatting>
  <conditionalFormatting sqref="E18:AA18 C19:AA19 V17">
    <cfRule type="expression" dxfId="601" priority="3">
      <formula>NOT(ISBLANK(INDIRECT("RC28",FALSE)))</formula>
    </cfRule>
  </conditionalFormatting>
  <conditionalFormatting sqref="E18:AA18 C19:AA19 V17">
    <cfRule type="expression" dxfId="600" priority="4" stopIfTrue="1">
      <formula>AND(ISBLANK(INDIRECT("RC2",FALSE)),NOT(ISBLANK(INDIRECT("RC3",FALSE))))</formula>
    </cfRule>
  </conditionalFormatting>
  <conditionalFormatting sqref="C18:D18">
    <cfRule type="expression" dxfId="599" priority="5" stopIfTrue="1">
      <formula>AND(ISBLANK(INDIRECT("RC2",FALSE)),NOT(ISBLANK(INDIRECT("RC3",FALSE))))</formula>
    </cfRule>
  </conditionalFormatting>
  <conditionalFormatting sqref="C18:D18">
    <cfRule type="expression" dxfId="598" priority="6">
      <formula>NOT(ISBLANK(INDIRECT("RC28",FALSE)))</formula>
    </cfRule>
  </conditionalFormatting>
  <conditionalFormatting sqref="C19:D19">
    <cfRule type="expression" dxfId="597" priority="7" stopIfTrue="1">
      <formula>AND(ISBLANK(INDIRECT("RC2",FALSE)),NOT(ISBLANK(INDIRECT("RC3",FALSE))))</formula>
    </cfRule>
  </conditionalFormatting>
  <conditionalFormatting sqref="C19:D19">
    <cfRule type="expression" dxfId="596" priority="8">
      <formula>NOT(ISBLANK(INDIRECT("RC28",FALSE)))</formula>
    </cfRule>
  </conditionalFormatting>
  <conditionalFormatting sqref="E16:AA16 V15 V17:V18 C17:U17 W17:AA17">
    <cfRule type="expression" dxfId="595" priority="9">
      <formula>NOT(ISBLANK(INDIRECT("RC28",FALSE)))</formula>
    </cfRule>
  </conditionalFormatting>
  <conditionalFormatting sqref="E16:AA16 C17:AA17 V15 V18">
    <cfRule type="expression" dxfId="594" priority="10" stopIfTrue="1">
      <formula>AND(ISBLANK(INDIRECT("RC2",FALSE)),NOT(ISBLANK(INDIRECT("RC3",FALSE))))</formula>
    </cfRule>
  </conditionalFormatting>
  <conditionalFormatting sqref="C16:D16">
    <cfRule type="expression" dxfId="593" priority="11" stopIfTrue="1">
      <formula>AND(ISBLANK(INDIRECT("RC2",FALSE)),NOT(ISBLANK(INDIRECT("RC3",FALSE))))</formula>
    </cfRule>
  </conditionalFormatting>
  <conditionalFormatting sqref="C16:D16">
    <cfRule type="expression" dxfId="592" priority="12">
      <formula>NOT(ISBLANK(INDIRECT("RC28",FALSE)))</formula>
    </cfRule>
  </conditionalFormatting>
  <conditionalFormatting sqref="C17:D17">
    <cfRule type="expression" dxfId="591" priority="13" stopIfTrue="1">
      <formula>AND(ISBLANK(INDIRECT("RC2",FALSE)),NOT(ISBLANK(INDIRECT("RC3",FALSE))))</formula>
    </cfRule>
  </conditionalFormatting>
  <conditionalFormatting sqref="C17:D17">
    <cfRule type="expression" dxfId="590" priority="14">
      <formula>NOT(ISBLANK(INDIRECT("RC28",FALSE)))</formula>
    </cfRule>
  </conditionalFormatting>
  <dataValidations count="6">
    <dataValidation type="list" allowBlank="1" showErrorMessage="1" sqref="V12:V20" xr:uid="{00000000-0002-0000-0300-000000000000}">
      <formula1>"TEXT,VARCHAR,CHAR,NUMERIC,integer,boolean,bytea,DATE(時刻無),TIMESTAMP"</formula1>
    </dataValidation>
    <dataValidation type="list" allowBlank="1" showErrorMessage="1" sqref="U12:U20" xr:uid="{00000000-0002-0000-0300-000001000000}">
      <formula1>"○"</formula1>
    </dataValidation>
    <dataValidation type="list" allowBlank="1" showInputMessage="1" showErrorMessage="1" sqref="AB12:AB114 J5:T5 U21:U114" xr:uid="{00000000-0002-0000-0300-000002000000}">
      <formula1>"○"</formula1>
    </dataValidation>
    <dataValidation type="list" allowBlank="1" showInputMessage="1" showErrorMessage="1" sqref="V21:V114" xr:uid="{00000000-0002-0000-0300-000003000000}">
      <formula1>"TEXT,VARCHAR,CHAR,NUMERIC,integer,boolean,bytea,DATE(時刻無),TIMESTAMP"</formula1>
    </dataValidation>
    <dataValidation type="list" allowBlank="1" showInputMessage="1" showErrorMessage="1" sqref="AC12:AC114" xr:uid="{00000000-0002-0000-0300-000004000000}">
      <formula1>"親,子"</formula1>
    </dataValidation>
    <dataValidation type="list" allowBlank="1" showInputMessage="1" showErrorMessage="1" sqref="F11:T11" xr:uid="{00000000-0002-0000-0300-000005000000}">
      <formula1>"IN,uIN,BR,uBR"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pageSetUpPr fitToPage="1"/>
  </sheetPr>
  <dimension ref="A1:AG193"/>
  <sheetViews>
    <sheetView showGridLines="0" zoomScale="70" zoomScaleNormal="70" zoomScaleSheetLayoutView="100" workbookViewId="0">
      <selection activeCell="AD3" sqref="AD3:AE20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170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169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/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66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1000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92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24">
        <f t="shared" ref="B12:B75" si="0">ROW()-11</f>
        <v>1</v>
      </c>
      <c r="C12" s="91" t="s">
        <v>171</v>
      </c>
      <c r="D12" s="92" t="s">
        <v>172</v>
      </c>
      <c r="E12" s="92">
        <v>1</v>
      </c>
      <c r="F12" s="92"/>
      <c r="G12" s="93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74</v>
      </c>
      <c r="W12" s="95"/>
      <c r="X12" s="92"/>
      <c r="Y12" s="96"/>
      <c r="Z12" s="96"/>
      <c r="AA12" s="97" t="s">
        <v>172</v>
      </c>
      <c r="AB12" s="40"/>
      <c r="AC12" s="40"/>
      <c r="AD12" s="27"/>
      <c r="AE12" s="27"/>
      <c r="AG12" s="4"/>
    </row>
    <row r="13" spans="1:33" s="21" customFormat="1">
      <c r="A13" s="25"/>
      <c r="B13" s="24">
        <f t="shared" si="0"/>
        <v>2</v>
      </c>
      <c r="C13" s="98" t="s">
        <v>173</v>
      </c>
      <c r="D13" s="99" t="s">
        <v>174</v>
      </c>
      <c r="E13" s="100"/>
      <c r="F13" s="100"/>
      <c r="G13" s="101"/>
      <c r="H13" s="101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2"/>
      <c r="V13" s="100" t="s">
        <v>33</v>
      </c>
      <c r="W13" s="100">
        <v>100</v>
      </c>
      <c r="X13" s="100"/>
      <c r="Y13" s="103"/>
      <c r="Z13" s="104">
        <v>40</v>
      </c>
      <c r="AA13" s="105" t="s">
        <v>174</v>
      </c>
      <c r="AB13" s="40"/>
      <c r="AC13" s="40"/>
      <c r="AD13" s="42" t="s">
        <v>296</v>
      </c>
      <c r="AE13" s="33" t="s">
        <v>53</v>
      </c>
      <c r="AG13" s="4"/>
    </row>
    <row r="14" spans="1:33" s="21" customFormat="1">
      <c r="A14" s="25"/>
      <c r="B14" s="24">
        <f t="shared" si="0"/>
        <v>3</v>
      </c>
      <c r="C14" s="106" t="s">
        <v>175</v>
      </c>
      <c r="D14" s="100" t="s">
        <v>176</v>
      </c>
      <c r="E14" s="100"/>
      <c r="F14" s="100"/>
      <c r="G14" s="101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2"/>
      <c r="V14" s="100" t="s">
        <v>33</v>
      </c>
      <c r="W14" s="100">
        <v>100</v>
      </c>
      <c r="X14" s="100"/>
      <c r="Y14" s="103"/>
      <c r="Z14" s="104">
        <v>40</v>
      </c>
      <c r="AA14" s="105" t="s">
        <v>176</v>
      </c>
      <c r="AB14" s="40"/>
      <c r="AC14" s="40"/>
      <c r="AD14" s="27"/>
      <c r="AE14" s="33" t="s">
        <v>75</v>
      </c>
      <c r="AF14" s="4"/>
      <c r="AG14" s="4"/>
    </row>
    <row r="15" spans="1:33" s="21" customFormat="1">
      <c r="A15" s="25"/>
      <c r="B15" s="24">
        <f t="shared" si="0"/>
        <v>4</v>
      </c>
      <c r="C15" s="106" t="s">
        <v>177</v>
      </c>
      <c r="D15" s="100" t="s">
        <v>178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2"/>
      <c r="V15" s="100" t="s">
        <v>33</v>
      </c>
      <c r="W15" s="100">
        <v>100</v>
      </c>
      <c r="X15" s="100"/>
      <c r="Y15" s="103"/>
      <c r="Z15" s="103">
        <v>40</v>
      </c>
      <c r="AA15" s="105" t="s">
        <v>178</v>
      </c>
      <c r="AB15" s="40"/>
      <c r="AC15" s="40"/>
      <c r="AD15" s="27"/>
      <c r="AE15" s="33" t="s">
        <v>76</v>
      </c>
      <c r="AF15" s="4"/>
      <c r="AG15" s="4"/>
    </row>
    <row r="16" spans="1:33" s="21" customFormat="1">
      <c r="A16" s="25"/>
      <c r="B16" s="24">
        <f t="shared" si="0"/>
        <v>5</v>
      </c>
      <c r="C16" s="98" t="s">
        <v>68</v>
      </c>
      <c r="D16" s="99" t="s">
        <v>87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2" t="s">
        <v>27</v>
      </c>
      <c r="V16" s="100" t="s">
        <v>28</v>
      </c>
      <c r="W16" s="107">
        <v>1</v>
      </c>
      <c r="X16" s="100"/>
      <c r="Y16" s="103"/>
      <c r="Z16" s="103"/>
      <c r="AA16" s="105" t="s">
        <v>87</v>
      </c>
      <c r="AB16" s="40"/>
      <c r="AC16" s="40"/>
      <c r="AD16" s="23"/>
      <c r="AE16" s="33" t="s">
        <v>297</v>
      </c>
      <c r="AF16" s="4"/>
      <c r="AG16" s="4"/>
    </row>
    <row r="17" spans="1:33" s="21" customFormat="1">
      <c r="A17" s="25"/>
      <c r="B17" s="24">
        <f t="shared" si="0"/>
        <v>6</v>
      </c>
      <c r="C17" s="98" t="s">
        <v>69</v>
      </c>
      <c r="D17" s="99" t="s">
        <v>88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2" t="s">
        <v>27</v>
      </c>
      <c r="V17" s="100" t="s">
        <v>29</v>
      </c>
      <c r="W17" s="100"/>
      <c r="X17" s="100"/>
      <c r="Y17" s="103"/>
      <c r="Z17" s="104"/>
      <c r="AA17" s="105" t="s">
        <v>88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24">
        <f t="shared" si="0"/>
        <v>7</v>
      </c>
      <c r="C18" s="106" t="s">
        <v>70</v>
      </c>
      <c r="D18" s="100" t="s">
        <v>89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2" t="s">
        <v>27</v>
      </c>
      <c r="V18" s="100" t="s">
        <v>33</v>
      </c>
      <c r="W18" s="107">
        <v>20</v>
      </c>
      <c r="X18" s="100"/>
      <c r="Y18" s="103"/>
      <c r="Z18" s="103">
        <v>15</v>
      </c>
      <c r="AA18" s="105" t="s">
        <v>89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24">
        <f t="shared" si="0"/>
        <v>8</v>
      </c>
      <c r="C19" s="106" t="s">
        <v>71</v>
      </c>
      <c r="D19" s="100" t="s">
        <v>90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2" t="s">
        <v>27</v>
      </c>
      <c r="V19" s="100" t="s">
        <v>29</v>
      </c>
      <c r="W19" s="100"/>
      <c r="X19" s="100"/>
      <c r="Y19" s="103"/>
      <c r="Z19" s="104"/>
      <c r="AA19" s="105" t="s">
        <v>90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24">
        <f t="shared" si="0"/>
        <v>9</v>
      </c>
      <c r="C20" s="106" t="s">
        <v>72</v>
      </c>
      <c r="D20" s="100" t="s">
        <v>91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2" t="s">
        <v>27</v>
      </c>
      <c r="V20" s="100" t="s">
        <v>33</v>
      </c>
      <c r="W20" s="107">
        <v>20</v>
      </c>
      <c r="X20" s="100"/>
      <c r="Y20" s="103"/>
      <c r="Z20" s="103">
        <v>15</v>
      </c>
      <c r="AA20" s="105" t="s">
        <v>91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24">
        <f t="shared" si="0"/>
        <v>10</v>
      </c>
      <c r="C21" s="15" t="s">
        <v>73</v>
      </c>
      <c r="D21" s="13" t="s">
        <v>78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7" t="s">
        <v>27</v>
      </c>
      <c r="V21" s="34" t="s">
        <v>74</v>
      </c>
      <c r="W21" s="18"/>
      <c r="X21" s="16"/>
      <c r="Y21" s="19"/>
      <c r="Z21" s="19"/>
      <c r="AA21" s="20" t="s">
        <v>78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24">
        <f t="shared" si="0"/>
        <v>11</v>
      </c>
      <c r="C22" s="15"/>
      <c r="D22" s="13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7"/>
      <c r="V22" s="12"/>
      <c r="W22" s="18"/>
      <c r="X22" s="16"/>
      <c r="Y22" s="19"/>
      <c r="Z22" s="19"/>
      <c r="AA22" s="20"/>
      <c r="AB22" s="40"/>
      <c r="AC22" s="40"/>
      <c r="AD22" s="27"/>
      <c r="AE22" s="27"/>
      <c r="AF22" s="4"/>
      <c r="AG22" s="4"/>
    </row>
    <row r="23" spans="1:33" s="21" customFormat="1">
      <c r="A23" s="25"/>
      <c r="B23" s="24">
        <f t="shared" si="0"/>
        <v>12</v>
      </c>
      <c r="C23" s="15"/>
      <c r="D23" s="13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7"/>
      <c r="V23" s="12"/>
      <c r="W23" s="18"/>
      <c r="X23" s="16"/>
      <c r="Y23" s="19"/>
      <c r="Z23" s="19"/>
      <c r="AA23" s="20"/>
      <c r="AB23" s="40"/>
      <c r="AC23" s="40"/>
      <c r="AD23" s="27"/>
      <c r="AE23" s="27"/>
      <c r="AF23" s="4"/>
      <c r="AG23" s="4"/>
    </row>
    <row r="24" spans="1:33" s="21" customFormat="1">
      <c r="A24" s="25"/>
      <c r="B24" s="24">
        <f t="shared" si="0"/>
        <v>13</v>
      </c>
      <c r="C24" s="15"/>
      <c r="D24" s="13"/>
      <c r="E24" s="16"/>
      <c r="F24" s="16"/>
      <c r="G24" s="2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7"/>
      <c r="V24" s="12"/>
      <c r="W24" s="18"/>
      <c r="X24" s="16"/>
      <c r="Y24" s="19"/>
      <c r="Z24" s="19"/>
      <c r="AA24" s="20"/>
      <c r="AB24" s="40"/>
      <c r="AC24" s="40"/>
      <c r="AD24" s="23"/>
      <c r="AE24" s="23"/>
      <c r="AF24" s="4"/>
      <c r="AG24" s="4"/>
    </row>
    <row r="25" spans="1:33" s="21" customFormat="1">
      <c r="A25" s="25"/>
      <c r="B25" s="24">
        <f t="shared" si="0"/>
        <v>14</v>
      </c>
      <c r="C25" s="15"/>
      <c r="D25" s="5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59"/>
      <c r="V25" s="34"/>
      <c r="W25" s="68"/>
      <c r="X25" s="26"/>
      <c r="Y25" s="35"/>
      <c r="Z25" s="35"/>
      <c r="AA25" s="43"/>
      <c r="AB25" s="40"/>
      <c r="AC25" s="40"/>
      <c r="AD25" s="23"/>
      <c r="AE25" s="23"/>
      <c r="AF25" s="4"/>
      <c r="AG25" s="4"/>
    </row>
    <row r="26" spans="1:33" s="21" customFormat="1">
      <c r="A26" s="25"/>
      <c r="B26" s="24">
        <f t="shared" si="0"/>
        <v>15</v>
      </c>
      <c r="C26" s="15"/>
      <c r="D26" s="5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59"/>
      <c r="V26" s="34"/>
      <c r="W26" s="68"/>
      <c r="X26" s="26"/>
      <c r="Y26" s="35"/>
      <c r="Z26" s="35"/>
      <c r="AA26" s="43"/>
      <c r="AB26" s="40"/>
      <c r="AC26" s="40"/>
      <c r="AD26" s="23"/>
      <c r="AE26" s="23"/>
      <c r="AF26" s="4"/>
      <c r="AG26" s="4"/>
    </row>
    <row r="27" spans="1:33" s="21" customFormat="1">
      <c r="A27" s="25"/>
      <c r="B27" s="24">
        <f t="shared" si="0"/>
        <v>16</v>
      </c>
      <c r="C27" s="15"/>
      <c r="D27" s="5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59"/>
      <c r="V27" s="34"/>
      <c r="W27" s="68"/>
      <c r="X27" s="26"/>
      <c r="Y27" s="35"/>
      <c r="Z27" s="35"/>
      <c r="AA27" s="43"/>
      <c r="AB27" s="40"/>
      <c r="AC27" s="40"/>
      <c r="AD27" s="23"/>
      <c r="AE27" s="23"/>
      <c r="AF27" s="4"/>
      <c r="AG27" s="4"/>
    </row>
    <row r="28" spans="1:33" s="21" customFormat="1">
      <c r="A28" s="25"/>
      <c r="B28" s="24">
        <f t="shared" si="0"/>
        <v>17</v>
      </c>
      <c r="C28" s="15"/>
      <c r="D28" s="5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59"/>
      <c r="V28" s="34"/>
      <c r="W28" s="68"/>
      <c r="X28" s="26"/>
      <c r="Y28" s="35"/>
      <c r="Z28" s="35"/>
      <c r="AA28" s="43"/>
      <c r="AB28" s="40"/>
      <c r="AC28" s="40"/>
      <c r="AD28" s="23"/>
      <c r="AE28" s="23"/>
      <c r="AF28" s="4"/>
      <c r="AG28" s="4"/>
    </row>
    <row r="29" spans="1:33" s="21" customFormat="1">
      <c r="A29" s="25"/>
      <c r="B29" s="24">
        <f t="shared" si="0"/>
        <v>18</v>
      </c>
      <c r="C29" s="15"/>
      <c r="D29" s="5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59"/>
      <c r="V29" s="34"/>
      <c r="W29" s="68"/>
      <c r="X29" s="26"/>
      <c r="Y29" s="35"/>
      <c r="Z29" s="35"/>
      <c r="AA29" s="43"/>
      <c r="AB29" s="40"/>
      <c r="AC29" s="40"/>
      <c r="AD29" s="23"/>
      <c r="AE29" s="23"/>
      <c r="AF29" s="4"/>
      <c r="AG29" s="4"/>
    </row>
    <row r="30" spans="1:33" s="21" customFormat="1">
      <c r="A30" s="25"/>
      <c r="B30" s="24">
        <f t="shared" si="0"/>
        <v>19</v>
      </c>
      <c r="C30" s="15"/>
      <c r="D30" s="5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59"/>
      <c r="V30" s="34"/>
      <c r="W30" s="68"/>
      <c r="X30" s="26"/>
      <c r="Y30" s="35"/>
      <c r="Z30" s="35"/>
      <c r="AA30" s="43"/>
      <c r="AB30" s="40"/>
      <c r="AC30" s="40"/>
      <c r="AD30" s="23"/>
      <c r="AE30" s="23"/>
      <c r="AF30" s="4"/>
      <c r="AG30" s="4"/>
    </row>
    <row r="31" spans="1:33" s="21" customFormat="1">
      <c r="A31" s="25"/>
      <c r="B31" s="24">
        <f t="shared" si="0"/>
        <v>20</v>
      </c>
      <c r="C31" s="15"/>
      <c r="D31" s="5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59"/>
      <c r="V31" s="34"/>
      <c r="W31" s="68"/>
      <c r="X31" s="26"/>
      <c r="Y31" s="35"/>
      <c r="Z31" s="35"/>
      <c r="AA31" s="43"/>
      <c r="AB31" s="40"/>
      <c r="AC31" s="40"/>
      <c r="AD31" s="23"/>
      <c r="AE31" s="23"/>
      <c r="AF31" s="4"/>
      <c r="AG31" s="4"/>
    </row>
    <row r="32" spans="1:33" s="21" customFormat="1">
      <c r="A32" s="25"/>
      <c r="B32" s="24">
        <f t="shared" si="0"/>
        <v>21</v>
      </c>
      <c r="C32" s="15"/>
      <c r="D32" s="5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59"/>
      <c r="V32" s="34"/>
      <c r="W32" s="68"/>
      <c r="X32" s="26"/>
      <c r="Y32" s="35"/>
      <c r="Z32" s="35"/>
      <c r="AA32" s="43"/>
      <c r="AB32" s="40"/>
      <c r="AC32" s="40"/>
      <c r="AD32" s="23"/>
      <c r="AE32" s="23"/>
      <c r="AF32" s="4"/>
      <c r="AG32" s="4"/>
    </row>
    <row r="33" spans="1:33" s="21" customFormat="1">
      <c r="A33" s="25"/>
      <c r="B33" s="24">
        <f t="shared" si="0"/>
        <v>22</v>
      </c>
      <c r="C33" s="15"/>
      <c r="D33" s="5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59"/>
      <c r="V33" s="34"/>
      <c r="W33" s="68"/>
      <c r="X33" s="26"/>
      <c r="Y33" s="35"/>
      <c r="Z33" s="35"/>
      <c r="AA33" s="43"/>
      <c r="AB33" s="40"/>
      <c r="AC33" s="40"/>
      <c r="AD33" s="23"/>
      <c r="AE33" s="23"/>
      <c r="AF33" s="4"/>
      <c r="AG33" s="4"/>
    </row>
    <row r="34" spans="1:33" s="21" customFormat="1">
      <c r="A34" s="25"/>
      <c r="B34" s="24">
        <f t="shared" si="0"/>
        <v>23</v>
      </c>
      <c r="C34" s="15"/>
      <c r="D34" s="5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59"/>
      <c r="V34" s="34"/>
      <c r="W34" s="68"/>
      <c r="X34" s="26"/>
      <c r="Y34" s="35"/>
      <c r="Z34" s="35"/>
      <c r="AA34" s="43"/>
      <c r="AB34" s="40"/>
      <c r="AC34" s="40"/>
      <c r="AD34" s="23"/>
      <c r="AE34" s="23"/>
      <c r="AF34" s="4"/>
      <c r="AG34" s="4"/>
    </row>
    <row r="35" spans="1:33" s="21" customFormat="1">
      <c r="A35" s="25"/>
      <c r="B35" s="24">
        <f t="shared" si="0"/>
        <v>24</v>
      </c>
      <c r="C35" s="15"/>
      <c r="D35" s="5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59"/>
      <c r="V35" s="34"/>
      <c r="W35" s="68"/>
      <c r="X35" s="26"/>
      <c r="Y35" s="35"/>
      <c r="Z35" s="35"/>
      <c r="AA35" s="43"/>
      <c r="AB35" s="40"/>
      <c r="AC35" s="40"/>
      <c r="AD35" s="23"/>
      <c r="AE35" s="23"/>
      <c r="AF35" s="4"/>
      <c r="AG35" s="4"/>
    </row>
    <row r="36" spans="1:33" s="21" customFormat="1">
      <c r="A36" s="25"/>
      <c r="B36" s="24">
        <f t="shared" si="0"/>
        <v>25</v>
      </c>
      <c r="C36" s="15"/>
      <c r="D36" s="5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59"/>
      <c r="V36" s="34"/>
      <c r="W36" s="68"/>
      <c r="X36" s="26"/>
      <c r="Y36" s="35"/>
      <c r="Z36" s="35"/>
      <c r="AA36" s="43"/>
      <c r="AB36" s="40"/>
      <c r="AC36" s="40"/>
      <c r="AD36" s="23"/>
      <c r="AE36" s="23"/>
      <c r="AF36" s="4"/>
      <c r="AG36" s="4"/>
    </row>
    <row r="37" spans="1:33" s="21" customFormat="1">
      <c r="A37" s="25"/>
      <c r="B37" s="24">
        <f t="shared" si="0"/>
        <v>26</v>
      </c>
      <c r="C37" s="15"/>
      <c r="D37" s="5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59"/>
      <c r="V37" s="34"/>
      <c r="W37" s="68"/>
      <c r="X37" s="26"/>
      <c r="Y37" s="35"/>
      <c r="Z37" s="35"/>
      <c r="AA37" s="43"/>
      <c r="AB37" s="40"/>
      <c r="AC37" s="40"/>
      <c r="AD37" s="23"/>
      <c r="AE37" s="23"/>
      <c r="AF37" s="4"/>
      <c r="AG37" s="4"/>
    </row>
    <row r="38" spans="1:33" s="21" customFormat="1">
      <c r="A38" s="25"/>
      <c r="B38" s="24">
        <f t="shared" si="0"/>
        <v>27</v>
      </c>
      <c r="C38" s="15"/>
      <c r="D38" s="5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59"/>
      <c r="V38" s="34"/>
      <c r="W38" s="68"/>
      <c r="X38" s="26"/>
      <c r="Y38" s="35"/>
      <c r="Z38" s="35"/>
      <c r="AA38" s="43"/>
      <c r="AB38" s="40"/>
      <c r="AC38" s="40"/>
      <c r="AD38" s="23"/>
      <c r="AE38" s="23"/>
      <c r="AF38" s="4"/>
      <c r="AG38" s="4"/>
    </row>
    <row r="39" spans="1:33" s="21" customFormat="1">
      <c r="A39" s="25"/>
      <c r="B39" s="24">
        <f t="shared" si="0"/>
        <v>28</v>
      </c>
      <c r="C39" s="15"/>
      <c r="D39" s="5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59"/>
      <c r="V39" s="34"/>
      <c r="W39" s="68"/>
      <c r="X39" s="26"/>
      <c r="Y39" s="35"/>
      <c r="Z39" s="35"/>
      <c r="AA39" s="43"/>
      <c r="AB39" s="40"/>
      <c r="AC39" s="40"/>
      <c r="AD39" s="23"/>
      <c r="AE39" s="23"/>
      <c r="AF39" s="4"/>
      <c r="AG39" s="4"/>
    </row>
    <row r="40" spans="1:33" s="21" customFormat="1">
      <c r="A40" s="25"/>
      <c r="B40" s="24">
        <f t="shared" si="0"/>
        <v>29</v>
      </c>
      <c r="C40" s="15"/>
      <c r="D40" s="5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59"/>
      <c r="V40" s="34"/>
      <c r="W40" s="68"/>
      <c r="X40" s="26"/>
      <c r="Y40" s="35"/>
      <c r="Z40" s="35"/>
      <c r="AA40" s="43"/>
      <c r="AB40" s="40"/>
      <c r="AC40" s="40"/>
      <c r="AD40" s="23"/>
      <c r="AE40" s="23"/>
      <c r="AF40" s="4"/>
      <c r="AG40" s="4"/>
    </row>
    <row r="41" spans="1:33" s="21" customFormat="1">
      <c r="A41" s="25"/>
      <c r="B41" s="24">
        <f t="shared" si="0"/>
        <v>30</v>
      </c>
      <c r="C41" s="15"/>
      <c r="D41" s="5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59"/>
      <c r="V41" s="34"/>
      <c r="W41" s="68"/>
      <c r="X41" s="26"/>
      <c r="Y41" s="35"/>
      <c r="Z41" s="35"/>
      <c r="AA41" s="43"/>
      <c r="AB41" s="40"/>
      <c r="AC41" s="40"/>
      <c r="AD41" s="23"/>
      <c r="AE41" s="23"/>
      <c r="AF41" s="4"/>
      <c r="AG41" s="4"/>
    </row>
    <row r="42" spans="1:33" s="21" customFormat="1">
      <c r="A42" s="25"/>
      <c r="B42" s="24">
        <f t="shared" si="0"/>
        <v>31</v>
      </c>
      <c r="C42" s="15"/>
      <c r="D42" s="5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59"/>
      <c r="V42" s="34"/>
      <c r="W42" s="68"/>
      <c r="X42" s="26"/>
      <c r="Y42" s="35"/>
      <c r="Z42" s="35"/>
      <c r="AA42" s="43"/>
      <c r="AB42" s="40"/>
      <c r="AC42" s="40"/>
      <c r="AD42" s="23"/>
      <c r="AE42" s="23"/>
      <c r="AF42" s="4"/>
      <c r="AG42" s="4"/>
    </row>
    <row r="43" spans="1:33" s="21" customFormat="1">
      <c r="A43" s="25"/>
      <c r="B43" s="24">
        <f t="shared" si="0"/>
        <v>32</v>
      </c>
      <c r="C43" s="15"/>
      <c r="D43" s="5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59"/>
      <c r="V43" s="34"/>
      <c r="W43" s="68"/>
      <c r="X43" s="26"/>
      <c r="Y43" s="35"/>
      <c r="Z43" s="35"/>
      <c r="AA43" s="43"/>
      <c r="AB43" s="40"/>
      <c r="AC43" s="40"/>
      <c r="AD43" s="23"/>
      <c r="AE43" s="23"/>
      <c r="AF43" s="4"/>
      <c r="AG43" s="4"/>
    </row>
    <row r="44" spans="1:33" s="21" customFormat="1">
      <c r="A44" s="25"/>
      <c r="B44" s="24">
        <f t="shared" si="0"/>
        <v>33</v>
      </c>
      <c r="C44" s="15"/>
      <c r="D44" s="5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59"/>
      <c r="V44" s="34"/>
      <c r="W44" s="70"/>
      <c r="X44" s="26"/>
      <c r="Y44" s="35"/>
      <c r="Z44" s="35"/>
      <c r="AA44" s="43"/>
      <c r="AB44" s="40"/>
      <c r="AC44" s="40"/>
      <c r="AD44" s="23"/>
      <c r="AE44" s="23"/>
      <c r="AF44" s="4"/>
      <c r="AG44" s="4"/>
    </row>
    <row r="45" spans="1:33" s="21" customFormat="1">
      <c r="A45" s="25"/>
      <c r="B45" s="24">
        <f t="shared" si="0"/>
        <v>34</v>
      </c>
      <c r="C45" s="15"/>
      <c r="D45" s="5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59"/>
      <c r="V45" s="34"/>
      <c r="W45" s="70"/>
      <c r="X45" s="26"/>
      <c r="Y45" s="35"/>
      <c r="Z45" s="35"/>
      <c r="AA45" s="43"/>
      <c r="AB45" s="40"/>
      <c r="AC45" s="40"/>
      <c r="AD45" s="23"/>
      <c r="AE45" s="23"/>
      <c r="AF45" s="4"/>
      <c r="AG45" s="4"/>
    </row>
    <row r="46" spans="1:33" s="21" customFormat="1">
      <c r="A46" s="25"/>
      <c r="B46" s="24">
        <f t="shared" si="0"/>
        <v>35</v>
      </c>
      <c r="C46" s="15"/>
      <c r="D46" s="5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59"/>
      <c r="V46" s="34"/>
      <c r="W46" s="70"/>
      <c r="X46" s="26"/>
      <c r="Y46" s="35"/>
      <c r="Z46" s="35"/>
      <c r="AA46" s="43"/>
      <c r="AB46" s="40"/>
      <c r="AC46" s="40"/>
      <c r="AD46" s="23"/>
      <c r="AE46" s="23"/>
      <c r="AF46" s="4"/>
      <c r="AG46" s="4"/>
    </row>
    <row r="47" spans="1:33" s="21" customFormat="1">
      <c r="A47" s="25"/>
      <c r="B47" s="24">
        <f t="shared" si="0"/>
        <v>36</v>
      </c>
      <c r="C47" s="15"/>
      <c r="D47" s="5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59"/>
      <c r="V47" s="34"/>
      <c r="W47" s="70"/>
      <c r="X47" s="26"/>
      <c r="Y47" s="35"/>
      <c r="Z47" s="35"/>
      <c r="AA47" s="43"/>
      <c r="AB47" s="40"/>
      <c r="AC47" s="40"/>
      <c r="AD47" s="23"/>
      <c r="AE47" s="23"/>
      <c r="AF47" s="4"/>
      <c r="AG47" s="4"/>
    </row>
    <row r="48" spans="1:33" s="21" customFormat="1">
      <c r="A48" s="25"/>
      <c r="B48" s="24">
        <f t="shared" si="0"/>
        <v>37</v>
      </c>
      <c r="C48" s="15"/>
      <c r="D48" s="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59"/>
      <c r="V48" s="34"/>
      <c r="W48" s="70"/>
      <c r="X48" s="26"/>
      <c r="Y48" s="35"/>
      <c r="Z48" s="35"/>
      <c r="AA48" s="43"/>
      <c r="AB48" s="40"/>
      <c r="AC48" s="40"/>
      <c r="AD48" s="23"/>
      <c r="AE48" s="23"/>
      <c r="AF48" s="4"/>
      <c r="AG48" s="4"/>
    </row>
    <row r="49" spans="1:33" s="21" customFormat="1">
      <c r="A49" s="25"/>
      <c r="B49" s="24">
        <f t="shared" si="0"/>
        <v>38</v>
      </c>
      <c r="C49" s="15"/>
      <c r="D49" s="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59"/>
      <c r="V49" s="26"/>
      <c r="W49" s="68"/>
      <c r="X49" s="26"/>
      <c r="Y49" s="35"/>
      <c r="Z49" s="35"/>
      <c r="AA49" s="43"/>
      <c r="AB49" s="40"/>
      <c r="AC49" s="40"/>
      <c r="AD49" s="23"/>
      <c r="AE49" s="23"/>
      <c r="AF49" s="4"/>
      <c r="AG49" s="4"/>
    </row>
    <row r="50" spans="1:33" s="21" customFormat="1">
      <c r="A50" s="25"/>
      <c r="B50" s="24">
        <f t="shared" si="0"/>
        <v>39</v>
      </c>
      <c r="C50" s="71"/>
      <c r="D50" s="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59"/>
      <c r="V50" s="26"/>
      <c r="W50" s="26"/>
      <c r="X50" s="26"/>
      <c r="Y50" s="35"/>
      <c r="Z50" s="35"/>
      <c r="AA50" s="43"/>
      <c r="AB50" s="40"/>
      <c r="AC50" s="40"/>
      <c r="AD50" s="23"/>
      <c r="AE50" s="23"/>
      <c r="AF50" s="4"/>
      <c r="AG50" s="4"/>
    </row>
    <row r="51" spans="1:33" s="21" customFormat="1">
      <c r="A51" s="25"/>
      <c r="B51" s="24">
        <f t="shared" si="0"/>
        <v>40</v>
      </c>
      <c r="C51" s="71"/>
      <c r="D51" s="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59"/>
      <c r="V51" s="72"/>
      <c r="W51" s="26"/>
      <c r="X51" s="26"/>
      <c r="Y51" s="35"/>
      <c r="Z51" s="35"/>
      <c r="AA51" s="43"/>
      <c r="AB51" s="40"/>
      <c r="AC51" s="40"/>
      <c r="AD51" s="23"/>
      <c r="AE51" s="23"/>
      <c r="AF51" s="4"/>
      <c r="AG51" s="4"/>
    </row>
    <row r="52" spans="1:33" s="21" customFormat="1">
      <c r="A52" s="25"/>
      <c r="B52" s="24">
        <f t="shared" si="0"/>
        <v>41</v>
      </c>
      <c r="C52" s="71"/>
      <c r="D52" s="5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59"/>
      <c r="V52" s="26"/>
      <c r="W52" s="26"/>
      <c r="X52" s="26"/>
      <c r="Y52" s="35"/>
      <c r="Z52" s="35"/>
      <c r="AA52" s="43"/>
      <c r="AB52" s="40"/>
      <c r="AC52" s="40"/>
      <c r="AD52" s="23"/>
      <c r="AE52" s="23"/>
      <c r="AF52" s="4"/>
      <c r="AG52" s="4"/>
    </row>
    <row r="53" spans="1:33" s="21" customFormat="1">
      <c r="A53" s="25"/>
      <c r="B53" s="24">
        <f t="shared" si="0"/>
        <v>42</v>
      </c>
      <c r="C53" s="71"/>
      <c r="D53" s="5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59"/>
      <c r="V53" s="72"/>
      <c r="W53" s="26"/>
      <c r="X53" s="26"/>
      <c r="Y53" s="35"/>
      <c r="Z53" s="35"/>
      <c r="AA53" s="43"/>
      <c r="AB53" s="40"/>
      <c r="AC53" s="40"/>
      <c r="AD53" s="23"/>
      <c r="AE53" s="23"/>
      <c r="AF53" s="4"/>
      <c r="AG53" s="4"/>
    </row>
    <row r="54" spans="1:33" s="21" customFormat="1">
      <c r="A54" s="25"/>
      <c r="B54" s="24">
        <f t="shared" si="0"/>
        <v>43</v>
      </c>
      <c r="C54" s="34"/>
      <c r="D54" s="5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59"/>
      <c r="V54" s="72"/>
      <c r="W54" s="68"/>
      <c r="X54" s="26"/>
      <c r="Y54" s="35"/>
      <c r="Z54" s="35"/>
      <c r="AA54" s="43"/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0"/>
        <v>44</v>
      </c>
      <c r="C55" s="34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68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0"/>
        <v>45</v>
      </c>
      <c r="C56" s="15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34"/>
      <c r="W56" s="70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26"/>
      <c r="W57" s="68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71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26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26:AC114 B12:B24 AB12:AC24">
    <cfRule type="expression" dxfId="589" priority="26">
      <formula>NOT(ISBLANK(INDIRECT("RC28",FALSE)))</formula>
    </cfRule>
  </conditionalFormatting>
  <conditionalFormatting sqref="C26:AC114 AB12:AC24">
    <cfRule type="expression" dxfId="588" priority="25" stopIfTrue="1">
      <formula>AND(ISBLANK(INDIRECT("RC2",FALSE)),NOT(ISBLANK(INDIRECT("RC3",FALSE))))</formula>
    </cfRule>
  </conditionalFormatting>
  <conditionalFormatting sqref="C21:AA24">
    <cfRule type="expression" dxfId="587" priority="24">
      <formula>NOT(ISBLANK(INDIRECT("RC28",FALSE)))</formula>
    </cfRule>
  </conditionalFormatting>
  <conditionalFormatting sqref="C21:AA24">
    <cfRule type="expression" dxfId="586" priority="23" stopIfTrue="1">
      <formula>AND(ISBLANK(INDIRECT("RC2",FALSE)),NOT(ISBLANK(INDIRECT("RC3",FALSE))))</formula>
    </cfRule>
  </conditionalFormatting>
  <conditionalFormatting sqref="B25 AB25:AC25">
    <cfRule type="expression" dxfId="585" priority="22">
      <formula>NOT(ISBLANK(INDIRECT("RC28",FALSE)))</formula>
    </cfRule>
  </conditionalFormatting>
  <conditionalFormatting sqref="AB25:AC25">
    <cfRule type="expression" dxfId="584" priority="21" stopIfTrue="1">
      <formula>AND(ISBLANK(INDIRECT("RC2",FALSE)),NOT(ISBLANK(INDIRECT("RC3",FALSE))))</formula>
    </cfRule>
  </conditionalFormatting>
  <conditionalFormatting sqref="C25:AA25">
    <cfRule type="expression" dxfId="583" priority="20">
      <formula>NOT(ISBLANK(INDIRECT("RC28",FALSE)))</formula>
    </cfRule>
  </conditionalFormatting>
  <conditionalFormatting sqref="C25:AA25">
    <cfRule type="expression" dxfId="582" priority="19" stopIfTrue="1">
      <formula>AND(ISBLANK(INDIRECT("RC2",FALSE)),NOT(ISBLANK(INDIRECT("RC3",FALSE))))</formula>
    </cfRule>
  </conditionalFormatting>
  <conditionalFormatting sqref="C12:AA12 E13:AA13 C14:AA14">
    <cfRule type="expression" dxfId="581" priority="15">
      <formula>NOT(ISBLANK(INDIRECT("RC28",FALSE)))</formula>
    </cfRule>
  </conditionalFormatting>
  <conditionalFormatting sqref="C12:AA12 E13:AA13 C14:AA14">
    <cfRule type="expression" dxfId="580" priority="16" stopIfTrue="1">
      <formula>AND(ISBLANK(INDIRECT("RC2",FALSE)),NOT(ISBLANK(INDIRECT("RC3",FALSE))))</formula>
    </cfRule>
  </conditionalFormatting>
  <conditionalFormatting sqref="C13:D13">
    <cfRule type="expression" dxfId="579" priority="17" stopIfTrue="1">
      <formula>AND(ISBLANK(INDIRECT("RC2",FALSE)),NOT(ISBLANK(INDIRECT("RC3",FALSE))))</formula>
    </cfRule>
  </conditionalFormatting>
  <conditionalFormatting sqref="C13:D13">
    <cfRule type="expression" dxfId="578" priority="18">
      <formula>NOT(ISBLANK(INDIRECT("RC28",FALSE)))</formula>
    </cfRule>
  </conditionalFormatting>
  <conditionalFormatting sqref="C15:AA20">
    <cfRule type="expression" dxfId="577" priority="1">
      <formula>NOT(ISBLANK(INDIRECT("RC28",FALSE)))</formula>
    </cfRule>
  </conditionalFormatting>
  <conditionalFormatting sqref="C15:AA20">
    <cfRule type="expression" dxfId="576" priority="2" stopIfTrue="1">
      <formula>AND(ISBLANK(INDIRECT("RC2",FALSE)),NOT(ISBLANK(INDIRECT("RC3",FALSE))))</formula>
    </cfRule>
  </conditionalFormatting>
  <conditionalFormatting sqref="E18:AA18 C19:AA19 V17">
    <cfRule type="expression" dxfId="575" priority="3">
      <formula>NOT(ISBLANK(INDIRECT("RC28",FALSE)))</formula>
    </cfRule>
  </conditionalFormatting>
  <conditionalFormatting sqref="E18:AA18 C19:AA19 V17">
    <cfRule type="expression" dxfId="574" priority="4" stopIfTrue="1">
      <formula>AND(ISBLANK(INDIRECT("RC2",FALSE)),NOT(ISBLANK(INDIRECT("RC3",FALSE))))</formula>
    </cfRule>
  </conditionalFormatting>
  <conditionalFormatting sqref="C18:D18">
    <cfRule type="expression" dxfId="573" priority="5" stopIfTrue="1">
      <formula>AND(ISBLANK(INDIRECT("RC2",FALSE)),NOT(ISBLANK(INDIRECT("RC3",FALSE))))</formula>
    </cfRule>
  </conditionalFormatting>
  <conditionalFormatting sqref="C18:D18">
    <cfRule type="expression" dxfId="572" priority="6">
      <formula>NOT(ISBLANK(INDIRECT("RC28",FALSE)))</formula>
    </cfRule>
  </conditionalFormatting>
  <conditionalFormatting sqref="C19:D19">
    <cfRule type="expression" dxfId="571" priority="7" stopIfTrue="1">
      <formula>AND(ISBLANK(INDIRECT("RC2",FALSE)),NOT(ISBLANK(INDIRECT("RC3",FALSE))))</formula>
    </cfRule>
  </conditionalFormatting>
  <conditionalFormatting sqref="C19:D19">
    <cfRule type="expression" dxfId="570" priority="8">
      <formula>NOT(ISBLANK(INDIRECT("RC28",FALSE)))</formula>
    </cfRule>
  </conditionalFormatting>
  <conditionalFormatting sqref="E16:AA16 V15 V17:V18 C17:U17 W17:AA17">
    <cfRule type="expression" dxfId="569" priority="9">
      <formula>NOT(ISBLANK(INDIRECT("RC28",FALSE)))</formula>
    </cfRule>
  </conditionalFormatting>
  <conditionalFormatting sqref="E16:AA16 C17:AA17 V15 V18">
    <cfRule type="expression" dxfId="568" priority="10" stopIfTrue="1">
      <formula>AND(ISBLANK(INDIRECT("RC2",FALSE)),NOT(ISBLANK(INDIRECT("RC3",FALSE))))</formula>
    </cfRule>
  </conditionalFormatting>
  <conditionalFormatting sqref="C16:D16">
    <cfRule type="expression" dxfId="567" priority="11" stopIfTrue="1">
      <formula>AND(ISBLANK(INDIRECT("RC2",FALSE)),NOT(ISBLANK(INDIRECT("RC3",FALSE))))</formula>
    </cfRule>
  </conditionalFormatting>
  <conditionalFormatting sqref="C16:D16">
    <cfRule type="expression" dxfId="566" priority="12">
      <formula>NOT(ISBLANK(INDIRECT("RC28",FALSE)))</formula>
    </cfRule>
  </conditionalFormatting>
  <conditionalFormatting sqref="C17:D17">
    <cfRule type="expression" dxfId="565" priority="13" stopIfTrue="1">
      <formula>AND(ISBLANK(INDIRECT("RC2",FALSE)),NOT(ISBLANK(INDIRECT("RC3",FALSE))))</formula>
    </cfRule>
  </conditionalFormatting>
  <conditionalFormatting sqref="C17:D17">
    <cfRule type="expression" dxfId="564" priority="14">
      <formula>NOT(ISBLANK(INDIRECT("RC28",FALSE)))</formula>
    </cfRule>
  </conditionalFormatting>
  <dataValidations count="6">
    <dataValidation type="list" allowBlank="1" showInputMessage="1" showErrorMessage="1" sqref="F11:T11" xr:uid="{00000000-0002-0000-0400-000000000000}">
      <formula1>"IN,uIN,BR,uBR"</formula1>
    </dataValidation>
    <dataValidation type="list" allowBlank="1" showInputMessage="1" showErrorMessage="1" sqref="AC12:AC114" xr:uid="{00000000-0002-0000-0400-000001000000}">
      <formula1>"親,子"</formula1>
    </dataValidation>
    <dataValidation type="list" allowBlank="1" showInputMessage="1" showErrorMessage="1" sqref="V21:V114" xr:uid="{00000000-0002-0000-0400-000002000000}">
      <formula1>"TEXT,VARCHAR,CHAR,NUMERIC,integer,boolean,bytea,DATE(時刻無),TIMESTAMP"</formula1>
    </dataValidation>
    <dataValidation type="list" allowBlank="1" showInputMessage="1" showErrorMessage="1" sqref="AB12:AB114 J5:T5 U21:U114" xr:uid="{00000000-0002-0000-0400-000003000000}">
      <formula1>"○"</formula1>
    </dataValidation>
    <dataValidation type="list" allowBlank="1" showErrorMessage="1" sqref="U12:U20" xr:uid="{00000000-0002-0000-0400-000004000000}">
      <formula1>"○"</formula1>
    </dataValidation>
    <dataValidation type="list" allowBlank="1" showErrorMessage="1" sqref="V12:V20" xr:uid="{00000000-0002-0000-0400-000005000000}">
      <formula1>"TEXT,VARCHAR,CHAR,NUMERIC,integer,boolean,bytea,DATE(時刻無),TIMESTAMP"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pageSetUpPr fitToPage="1"/>
  </sheetPr>
  <dimension ref="A1:AG205"/>
  <sheetViews>
    <sheetView showGridLines="0" zoomScaleNormal="100" zoomScaleSheetLayoutView="100" workbookViewId="0">
      <selection activeCell="A76" sqref="A76:A78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5" width="5.77734375" style="5" customWidth="1"/>
    <col min="26" max="26" width="9.21875" style="5" bestFit="1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331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179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181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20000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182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332</v>
      </c>
    </row>
    <row r="9" spans="1:33" ht="12" customHeight="1">
      <c r="A9" s="267"/>
      <c r="B9" s="270" t="s">
        <v>7</v>
      </c>
      <c r="C9" s="270" t="s">
        <v>8</v>
      </c>
      <c r="D9" s="273" t="s">
        <v>333</v>
      </c>
      <c r="E9" s="273" t="s">
        <v>334</v>
      </c>
      <c r="F9" s="276" t="s">
        <v>335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336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184"/>
      <c r="B12" s="185">
        <f t="shared" ref="B12:B16" si="0">ROW()-11</f>
        <v>1</v>
      </c>
      <c r="C12" s="109" t="s">
        <v>183</v>
      </c>
      <c r="D12" s="110" t="s">
        <v>184</v>
      </c>
      <c r="E12" s="110">
        <v>1</v>
      </c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1" t="s">
        <v>27</v>
      </c>
      <c r="V12" s="110" t="s">
        <v>28</v>
      </c>
      <c r="W12" s="110">
        <v>10</v>
      </c>
      <c r="X12" s="110"/>
      <c r="Y12" s="112"/>
      <c r="Z12" s="112"/>
      <c r="AA12" s="113" t="s">
        <v>184</v>
      </c>
      <c r="AB12" s="186"/>
      <c r="AC12" s="186"/>
      <c r="AD12" s="27"/>
      <c r="AE12" s="27"/>
      <c r="AG12" s="4"/>
    </row>
    <row r="13" spans="1:33" s="21" customFormat="1">
      <c r="A13" s="184"/>
      <c r="B13" s="185">
        <f t="shared" si="0"/>
        <v>2</v>
      </c>
      <c r="C13" s="187" t="s">
        <v>442</v>
      </c>
      <c r="D13" s="115" t="s">
        <v>443</v>
      </c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24" t="s">
        <v>27</v>
      </c>
      <c r="V13" s="127" t="s">
        <v>28</v>
      </c>
      <c r="W13" s="115">
        <v>10</v>
      </c>
      <c r="X13" s="115"/>
      <c r="Y13" s="125"/>
      <c r="Z13" s="125">
        <v>10</v>
      </c>
      <c r="AA13" s="119" t="s">
        <v>443</v>
      </c>
      <c r="AB13" s="188"/>
      <c r="AC13" s="188"/>
      <c r="AD13" s="23"/>
      <c r="AE13" s="23"/>
      <c r="AF13" s="4"/>
      <c r="AG13" s="4"/>
    </row>
    <row r="14" spans="1:33" s="21" customFormat="1">
      <c r="A14" s="184"/>
      <c r="B14" s="185">
        <f t="shared" si="0"/>
        <v>3</v>
      </c>
      <c r="C14" s="114" t="s">
        <v>82</v>
      </c>
      <c r="D14" s="115" t="s">
        <v>77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7"/>
      <c r="V14" s="116" t="s">
        <v>33</v>
      </c>
      <c r="W14" s="116">
        <v>256</v>
      </c>
      <c r="X14" s="116"/>
      <c r="Y14" s="118"/>
      <c r="Z14" s="118">
        <v>3</v>
      </c>
      <c r="AA14" s="119" t="s">
        <v>444</v>
      </c>
      <c r="AB14" s="186"/>
      <c r="AC14" s="186"/>
      <c r="AD14" s="42" t="s">
        <v>337</v>
      </c>
      <c r="AE14" s="33" t="s">
        <v>53</v>
      </c>
      <c r="AG14" s="4"/>
    </row>
    <row r="15" spans="1:33" s="21" customFormat="1">
      <c r="A15" s="184"/>
      <c r="B15" s="185">
        <f t="shared" si="0"/>
        <v>4</v>
      </c>
      <c r="C15" s="120" t="s">
        <v>185</v>
      </c>
      <c r="D15" s="116" t="s">
        <v>186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7"/>
      <c r="V15" s="116" t="s">
        <v>33</v>
      </c>
      <c r="W15" s="116">
        <v>50</v>
      </c>
      <c r="X15" s="116"/>
      <c r="Y15" s="118"/>
      <c r="Z15" s="118">
        <v>30</v>
      </c>
      <c r="AA15" s="119" t="s">
        <v>186</v>
      </c>
      <c r="AB15" s="186"/>
      <c r="AC15" s="186"/>
      <c r="AD15" s="27"/>
      <c r="AE15" s="33" t="s">
        <v>75</v>
      </c>
      <c r="AF15" s="4"/>
      <c r="AG15" s="4"/>
    </row>
    <row r="16" spans="1:33" s="21" customFormat="1">
      <c r="A16" s="184"/>
      <c r="B16" s="189">
        <f t="shared" si="0"/>
        <v>5</v>
      </c>
      <c r="C16" s="190" t="s">
        <v>187</v>
      </c>
      <c r="D16" s="191" t="s">
        <v>188</v>
      </c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/>
      <c r="T16" s="191"/>
      <c r="U16" s="192"/>
      <c r="V16" s="191" t="s">
        <v>103</v>
      </c>
      <c r="W16" s="191"/>
      <c r="X16" s="191"/>
      <c r="Y16" s="193"/>
      <c r="Z16" s="194">
        <v>200</v>
      </c>
      <c r="AA16" s="195" t="s">
        <v>188</v>
      </c>
      <c r="AB16" s="196"/>
      <c r="AC16" s="196"/>
      <c r="AD16" s="27"/>
      <c r="AE16" s="33" t="s">
        <v>338</v>
      </c>
      <c r="AF16" s="4"/>
      <c r="AG16" s="4"/>
    </row>
    <row r="17" spans="1:33" s="21" customFormat="1">
      <c r="A17" s="184"/>
      <c r="B17" s="189">
        <v>6</v>
      </c>
      <c r="C17" s="190" t="s">
        <v>445</v>
      </c>
      <c r="D17" s="191" t="s">
        <v>446</v>
      </c>
      <c r="E17" s="191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1"/>
      <c r="S17" s="191"/>
      <c r="T17" s="191"/>
      <c r="U17" s="192"/>
      <c r="V17" s="191" t="s">
        <v>120</v>
      </c>
      <c r="W17" s="191"/>
      <c r="X17" s="191"/>
      <c r="Y17" s="193"/>
      <c r="Z17" s="194"/>
      <c r="AA17" s="195" t="s">
        <v>446</v>
      </c>
      <c r="AB17" s="197"/>
      <c r="AC17" s="197"/>
      <c r="AD17" s="27"/>
      <c r="AE17" s="33"/>
      <c r="AF17" s="4"/>
      <c r="AG17" s="4"/>
    </row>
    <row r="18" spans="1:33" s="21" customFormat="1">
      <c r="A18" s="184"/>
      <c r="B18" s="185">
        <f t="shared" ref="B18:B84" si="1">ROW()-11</f>
        <v>7</v>
      </c>
      <c r="C18" s="114" t="s">
        <v>189</v>
      </c>
      <c r="D18" s="115" t="s">
        <v>190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  <c r="V18" s="116" t="s">
        <v>103</v>
      </c>
      <c r="W18" s="116"/>
      <c r="X18" s="116"/>
      <c r="Y18" s="118"/>
      <c r="Z18" s="118">
        <v>100</v>
      </c>
      <c r="AA18" s="119" t="s">
        <v>190</v>
      </c>
      <c r="AB18" s="186"/>
      <c r="AC18" s="186"/>
      <c r="AD18" s="23"/>
      <c r="AE18" s="33" t="s">
        <v>339</v>
      </c>
      <c r="AF18" s="4"/>
      <c r="AG18" s="4"/>
    </row>
    <row r="19" spans="1:33" s="21" customFormat="1">
      <c r="A19" s="184"/>
      <c r="B19" s="185">
        <f t="shared" si="1"/>
        <v>8</v>
      </c>
      <c r="C19" s="187" t="s">
        <v>447</v>
      </c>
      <c r="D19" s="115" t="s">
        <v>448</v>
      </c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24"/>
      <c r="V19" s="115" t="s">
        <v>103</v>
      </c>
      <c r="W19" s="115"/>
      <c r="X19" s="115"/>
      <c r="Y19" s="125"/>
      <c r="Z19" s="125">
        <v>1530</v>
      </c>
      <c r="AA19" s="119" t="s">
        <v>448</v>
      </c>
      <c r="AB19" s="186"/>
      <c r="AC19" s="186"/>
      <c r="AD19" s="23"/>
      <c r="AE19" s="23"/>
      <c r="AF19" s="4"/>
      <c r="AG19" s="4"/>
    </row>
    <row r="20" spans="1:33" s="21" customFormat="1">
      <c r="A20" s="184"/>
      <c r="B20" s="185">
        <f t="shared" si="1"/>
        <v>9</v>
      </c>
      <c r="C20" s="120" t="s">
        <v>193</v>
      </c>
      <c r="D20" s="116" t="s">
        <v>340</v>
      </c>
      <c r="E20" s="115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7"/>
      <c r="V20" s="116" t="s">
        <v>103</v>
      </c>
      <c r="W20" s="116"/>
      <c r="X20" s="116"/>
      <c r="Y20" s="118"/>
      <c r="Z20" s="118">
        <v>400</v>
      </c>
      <c r="AA20" s="119" t="s">
        <v>340</v>
      </c>
      <c r="AB20" s="186"/>
      <c r="AC20" s="186"/>
      <c r="AD20" s="32" t="s">
        <v>298</v>
      </c>
      <c r="AE20" s="33" t="s">
        <v>14</v>
      </c>
      <c r="AF20" s="4"/>
      <c r="AG20" s="4"/>
    </row>
    <row r="21" spans="1:33" s="21" customFormat="1">
      <c r="A21" s="184"/>
      <c r="B21" s="185">
        <f t="shared" si="1"/>
        <v>10</v>
      </c>
      <c r="C21" s="120" t="s">
        <v>194</v>
      </c>
      <c r="D21" s="116" t="s">
        <v>341</v>
      </c>
      <c r="E21" s="115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7"/>
      <c r="V21" s="116" t="s">
        <v>103</v>
      </c>
      <c r="W21" s="116"/>
      <c r="X21" s="116"/>
      <c r="Y21" s="118"/>
      <c r="Z21" s="118">
        <v>1000</v>
      </c>
      <c r="AA21" s="119" t="s">
        <v>341</v>
      </c>
      <c r="AB21" s="186"/>
      <c r="AC21" s="186"/>
      <c r="AD21" s="42" t="s">
        <v>52</v>
      </c>
      <c r="AE21" s="33" t="s">
        <v>54</v>
      </c>
      <c r="AF21" s="4"/>
      <c r="AG21" s="4"/>
    </row>
    <row r="22" spans="1:33" s="21" customFormat="1">
      <c r="A22" s="184"/>
      <c r="B22" s="185">
        <f t="shared" si="1"/>
        <v>11</v>
      </c>
      <c r="C22" s="120" t="s">
        <v>195</v>
      </c>
      <c r="D22" s="116" t="s">
        <v>342</v>
      </c>
      <c r="E22" s="115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7"/>
      <c r="V22" s="116" t="s">
        <v>103</v>
      </c>
      <c r="W22" s="116"/>
      <c r="X22" s="116"/>
      <c r="Y22" s="118"/>
      <c r="Z22" s="118">
        <v>2000</v>
      </c>
      <c r="AA22" s="119" t="s">
        <v>342</v>
      </c>
      <c r="AB22" s="186"/>
      <c r="AC22" s="186"/>
      <c r="AD22" s="41" t="s">
        <v>50</v>
      </c>
      <c r="AE22" s="33" t="s">
        <v>51</v>
      </c>
      <c r="AF22" s="4"/>
      <c r="AG22" s="4"/>
    </row>
    <row r="23" spans="1:33" s="21" customFormat="1">
      <c r="A23" s="184"/>
      <c r="B23" s="185">
        <f t="shared" si="1"/>
        <v>12</v>
      </c>
      <c r="C23" s="114" t="s">
        <v>196</v>
      </c>
      <c r="D23" s="115" t="s">
        <v>343</v>
      </c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24"/>
      <c r="V23" s="115" t="s">
        <v>103</v>
      </c>
      <c r="W23" s="115"/>
      <c r="X23" s="115"/>
      <c r="Y23" s="125"/>
      <c r="Z23" s="125">
        <v>3000</v>
      </c>
      <c r="AA23" s="123" t="s">
        <v>343</v>
      </c>
      <c r="AB23" s="186"/>
      <c r="AC23" s="186"/>
      <c r="AD23" s="27"/>
      <c r="AE23" s="27"/>
      <c r="AF23" s="4"/>
      <c r="AG23" s="4"/>
    </row>
    <row r="24" spans="1:33" s="21" customFormat="1">
      <c r="A24" s="184"/>
      <c r="B24" s="185">
        <f t="shared" si="1"/>
        <v>13</v>
      </c>
      <c r="C24" s="114" t="s">
        <v>197</v>
      </c>
      <c r="D24" s="115" t="s">
        <v>344</v>
      </c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24"/>
      <c r="V24" s="115" t="s">
        <v>103</v>
      </c>
      <c r="W24" s="115"/>
      <c r="X24" s="115"/>
      <c r="Y24" s="125"/>
      <c r="Z24" s="125">
        <v>3000</v>
      </c>
      <c r="AA24" s="123" t="s">
        <v>344</v>
      </c>
      <c r="AB24" s="186"/>
      <c r="AC24" s="186"/>
      <c r="AD24" s="27"/>
      <c r="AE24" s="27"/>
      <c r="AF24" s="4"/>
      <c r="AG24" s="4"/>
    </row>
    <row r="25" spans="1:33" s="21" customFormat="1">
      <c r="A25" s="184"/>
      <c r="B25" s="185">
        <f t="shared" si="1"/>
        <v>14</v>
      </c>
      <c r="C25" s="114" t="s">
        <v>198</v>
      </c>
      <c r="D25" s="115" t="s">
        <v>345</v>
      </c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24"/>
      <c r="V25" s="115" t="s">
        <v>103</v>
      </c>
      <c r="W25" s="115"/>
      <c r="X25" s="115"/>
      <c r="Y25" s="125"/>
      <c r="Z25" s="125">
        <v>2000</v>
      </c>
      <c r="AA25" s="123" t="s">
        <v>345</v>
      </c>
      <c r="AB25" s="186"/>
      <c r="AC25" s="186"/>
      <c r="AD25" s="27"/>
      <c r="AE25" s="27"/>
      <c r="AF25" s="4"/>
      <c r="AG25" s="4"/>
    </row>
    <row r="26" spans="1:33" s="21" customFormat="1">
      <c r="A26" s="184"/>
      <c r="B26" s="185">
        <f t="shared" si="1"/>
        <v>15</v>
      </c>
      <c r="C26" s="114" t="s">
        <v>199</v>
      </c>
      <c r="D26" s="115" t="s">
        <v>346</v>
      </c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24"/>
      <c r="V26" s="115" t="s">
        <v>103</v>
      </c>
      <c r="W26" s="115"/>
      <c r="X26" s="115"/>
      <c r="Y26" s="125"/>
      <c r="Z26" s="125">
        <v>5000</v>
      </c>
      <c r="AA26" s="123" t="s">
        <v>346</v>
      </c>
      <c r="AB26" s="186"/>
      <c r="AC26" s="186"/>
      <c r="AD26" s="23"/>
      <c r="AE26" s="23"/>
      <c r="AF26" s="4"/>
      <c r="AG26" s="4"/>
    </row>
    <row r="27" spans="1:33" s="21" customFormat="1">
      <c r="A27" s="184"/>
      <c r="B27" s="185">
        <f t="shared" si="1"/>
        <v>16</v>
      </c>
      <c r="C27" s="114" t="s">
        <v>200</v>
      </c>
      <c r="D27" s="115" t="s">
        <v>347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24"/>
      <c r="V27" s="115" t="s">
        <v>103</v>
      </c>
      <c r="W27" s="115"/>
      <c r="X27" s="115"/>
      <c r="Y27" s="125"/>
      <c r="Z27" s="125">
        <v>1500</v>
      </c>
      <c r="AA27" s="123" t="s">
        <v>347</v>
      </c>
      <c r="AB27" s="186"/>
      <c r="AC27" s="186"/>
      <c r="AD27" s="23"/>
      <c r="AE27" s="23"/>
      <c r="AF27" s="4"/>
      <c r="AG27" s="4"/>
    </row>
    <row r="28" spans="1:33" s="21" customFormat="1">
      <c r="A28" s="184"/>
      <c r="B28" s="185">
        <f t="shared" si="1"/>
        <v>17</v>
      </c>
      <c r="C28" s="114" t="s">
        <v>202</v>
      </c>
      <c r="D28" s="115" t="s">
        <v>348</v>
      </c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24"/>
      <c r="V28" s="115" t="s">
        <v>103</v>
      </c>
      <c r="W28" s="115"/>
      <c r="X28" s="115"/>
      <c r="Y28" s="125"/>
      <c r="Z28" s="125">
        <v>3000</v>
      </c>
      <c r="AA28" s="123" t="s">
        <v>348</v>
      </c>
      <c r="AB28" s="186"/>
      <c r="AC28" s="186"/>
      <c r="AD28" s="23"/>
      <c r="AE28" s="23"/>
      <c r="AF28" s="4"/>
      <c r="AG28" s="4"/>
    </row>
    <row r="29" spans="1:33" s="21" customFormat="1">
      <c r="A29" s="184"/>
      <c r="B29" s="185">
        <f t="shared" si="1"/>
        <v>18</v>
      </c>
      <c r="C29" s="114" t="s">
        <v>203</v>
      </c>
      <c r="D29" s="115" t="s">
        <v>349</v>
      </c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24"/>
      <c r="V29" s="115" t="s">
        <v>103</v>
      </c>
      <c r="W29" s="115"/>
      <c r="X29" s="115"/>
      <c r="Y29" s="125"/>
      <c r="Z29" s="125">
        <v>1500</v>
      </c>
      <c r="AA29" s="123" t="s">
        <v>349</v>
      </c>
      <c r="AB29" s="186"/>
      <c r="AC29" s="186"/>
      <c r="AD29" s="23"/>
      <c r="AE29" s="23"/>
      <c r="AF29" s="4"/>
      <c r="AG29" s="4"/>
    </row>
    <row r="30" spans="1:33" s="21" customFormat="1">
      <c r="A30" s="184"/>
      <c r="B30" s="185">
        <f t="shared" si="1"/>
        <v>19</v>
      </c>
      <c r="C30" s="114" t="s">
        <v>204</v>
      </c>
      <c r="D30" s="115" t="s">
        <v>350</v>
      </c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24"/>
      <c r="V30" s="115" t="s">
        <v>103</v>
      </c>
      <c r="W30" s="115"/>
      <c r="X30" s="115"/>
      <c r="Y30" s="125"/>
      <c r="Z30" s="125">
        <v>2500</v>
      </c>
      <c r="AA30" s="123" t="s">
        <v>350</v>
      </c>
      <c r="AB30" s="186"/>
      <c r="AC30" s="186"/>
      <c r="AD30" s="23"/>
      <c r="AE30" s="23"/>
      <c r="AF30" s="4"/>
      <c r="AG30" s="4"/>
    </row>
    <row r="31" spans="1:33" s="21" customFormat="1">
      <c r="A31" s="184"/>
      <c r="B31" s="185">
        <f t="shared" si="1"/>
        <v>20</v>
      </c>
      <c r="C31" s="114" t="s">
        <v>205</v>
      </c>
      <c r="D31" s="115" t="s">
        <v>351</v>
      </c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24"/>
      <c r="V31" s="115" t="s">
        <v>103</v>
      </c>
      <c r="W31" s="115"/>
      <c r="X31" s="115"/>
      <c r="Y31" s="125"/>
      <c r="Z31" s="125">
        <v>1500</v>
      </c>
      <c r="AA31" s="123" t="s">
        <v>351</v>
      </c>
      <c r="AB31" s="186"/>
      <c r="AC31" s="186"/>
      <c r="AD31" s="23"/>
      <c r="AE31" s="23"/>
      <c r="AF31" s="4"/>
      <c r="AG31" s="4"/>
    </row>
    <row r="32" spans="1:33" s="21" customFormat="1">
      <c r="A32" s="184"/>
      <c r="B32" s="185">
        <f t="shared" si="1"/>
        <v>21</v>
      </c>
      <c r="C32" s="114" t="s">
        <v>206</v>
      </c>
      <c r="D32" s="115" t="s">
        <v>352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24"/>
      <c r="V32" s="115" t="s">
        <v>103</v>
      </c>
      <c r="W32" s="115"/>
      <c r="X32" s="115"/>
      <c r="Y32" s="125"/>
      <c r="Z32" s="125">
        <v>300</v>
      </c>
      <c r="AA32" s="123" t="s">
        <v>352</v>
      </c>
      <c r="AB32" s="186"/>
      <c r="AC32" s="186"/>
      <c r="AD32" s="23"/>
      <c r="AE32" s="23"/>
      <c r="AF32" s="4"/>
      <c r="AG32" s="4"/>
    </row>
    <row r="33" spans="1:33" s="21" customFormat="1">
      <c r="A33" s="184"/>
      <c r="B33" s="185">
        <f t="shared" si="1"/>
        <v>22</v>
      </c>
      <c r="C33" s="114" t="s">
        <v>207</v>
      </c>
      <c r="D33" s="115" t="s">
        <v>353</v>
      </c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24"/>
      <c r="V33" s="115" t="s">
        <v>103</v>
      </c>
      <c r="W33" s="115"/>
      <c r="X33" s="115"/>
      <c r="Y33" s="125"/>
      <c r="Z33" s="125">
        <v>7000</v>
      </c>
      <c r="AA33" s="123" t="s">
        <v>353</v>
      </c>
      <c r="AB33" s="186"/>
      <c r="AC33" s="186"/>
      <c r="AD33" s="23"/>
      <c r="AE33" s="23"/>
      <c r="AF33" s="4"/>
      <c r="AG33" s="4"/>
    </row>
    <row r="34" spans="1:33" s="21" customFormat="1">
      <c r="A34" s="184"/>
      <c r="B34" s="185">
        <f t="shared" si="1"/>
        <v>23</v>
      </c>
      <c r="C34" s="114" t="s">
        <v>208</v>
      </c>
      <c r="D34" s="115" t="s">
        <v>354</v>
      </c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24"/>
      <c r="V34" s="115" t="s">
        <v>103</v>
      </c>
      <c r="W34" s="115"/>
      <c r="X34" s="115"/>
      <c r="Y34" s="125"/>
      <c r="Z34" s="125">
        <v>11900</v>
      </c>
      <c r="AA34" s="123" t="s">
        <v>354</v>
      </c>
      <c r="AB34" s="186"/>
      <c r="AC34" s="186"/>
      <c r="AD34" s="23"/>
      <c r="AE34" s="23"/>
      <c r="AF34" s="4"/>
      <c r="AG34" s="4"/>
    </row>
    <row r="35" spans="1:33" s="21" customFormat="1">
      <c r="A35" s="184"/>
      <c r="B35" s="185">
        <f t="shared" si="1"/>
        <v>24</v>
      </c>
      <c r="C35" s="114" t="s">
        <v>209</v>
      </c>
      <c r="D35" s="115" t="s">
        <v>355</v>
      </c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24"/>
      <c r="V35" s="115" t="s">
        <v>103</v>
      </c>
      <c r="W35" s="115"/>
      <c r="X35" s="115"/>
      <c r="Y35" s="125"/>
      <c r="Z35" s="125">
        <v>11900</v>
      </c>
      <c r="AA35" s="123" t="s">
        <v>355</v>
      </c>
      <c r="AB35" s="186"/>
      <c r="AC35" s="186"/>
      <c r="AD35" s="23"/>
      <c r="AE35" s="23"/>
      <c r="AF35" s="4"/>
      <c r="AG35" s="4"/>
    </row>
    <row r="36" spans="1:33" s="21" customFormat="1">
      <c r="A36" s="184"/>
      <c r="B36" s="185">
        <f t="shared" si="1"/>
        <v>25</v>
      </c>
      <c r="C36" s="114" t="s">
        <v>449</v>
      </c>
      <c r="D36" s="115" t="s">
        <v>450</v>
      </c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24"/>
      <c r="V36" s="115" t="s">
        <v>103</v>
      </c>
      <c r="W36" s="115"/>
      <c r="X36" s="115"/>
      <c r="Y36" s="125"/>
      <c r="Z36" s="125">
        <v>5000</v>
      </c>
      <c r="AA36" s="123" t="s">
        <v>450</v>
      </c>
      <c r="AB36" s="186"/>
      <c r="AC36" s="186"/>
      <c r="AD36" s="23"/>
      <c r="AE36" s="23"/>
      <c r="AF36" s="4"/>
      <c r="AG36" s="4"/>
    </row>
    <row r="37" spans="1:33" s="21" customFormat="1">
      <c r="A37" s="184"/>
      <c r="B37" s="185">
        <f t="shared" si="1"/>
        <v>26</v>
      </c>
      <c r="C37" s="114" t="s">
        <v>210</v>
      </c>
      <c r="D37" s="115" t="s">
        <v>211</v>
      </c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24"/>
      <c r="V37" s="115" t="s">
        <v>103</v>
      </c>
      <c r="W37" s="115"/>
      <c r="X37" s="115"/>
      <c r="Y37" s="125"/>
      <c r="Z37" s="125">
        <v>1500</v>
      </c>
      <c r="AA37" s="123" t="s">
        <v>211</v>
      </c>
      <c r="AB37" s="186"/>
      <c r="AC37" s="186"/>
      <c r="AD37" s="23"/>
      <c r="AE37" s="23"/>
      <c r="AF37" s="4"/>
      <c r="AG37" s="4"/>
    </row>
    <row r="38" spans="1:33" s="21" customFormat="1">
      <c r="A38" s="184"/>
      <c r="B38" s="185">
        <f t="shared" si="1"/>
        <v>27</v>
      </c>
      <c r="C38" s="114" t="s">
        <v>212</v>
      </c>
      <c r="D38" s="115" t="s">
        <v>213</v>
      </c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24"/>
      <c r="V38" s="115" t="s">
        <v>103</v>
      </c>
      <c r="W38" s="115"/>
      <c r="X38" s="115"/>
      <c r="Y38" s="125"/>
      <c r="Z38" s="125">
        <v>11900</v>
      </c>
      <c r="AA38" s="123" t="s">
        <v>213</v>
      </c>
      <c r="AB38" s="186"/>
      <c r="AC38" s="186"/>
      <c r="AD38" s="23"/>
      <c r="AE38" s="23"/>
      <c r="AF38" s="4"/>
      <c r="AG38" s="4"/>
    </row>
    <row r="39" spans="1:33" s="21" customFormat="1">
      <c r="A39" s="184"/>
      <c r="B39" s="185">
        <f t="shared" si="1"/>
        <v>28</v>
      </c>
      <c r="C39" s="114" t="s">
        <v>214</v>
      </c>
      <c r="D39" s="115" t="s">
        <v>215</v>
      </c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24"/>
      <c r="V39" s="115" t="s">
        <v>103</v>
      </c>
      <c r="W39" s="115"/>
      <c r="X39" s="115"/>
      <c r="Y39" s="125"/>
      <c r="Z39" s="125">
        <v>11900</v>
      </c>
      <c r="AA39" s="123" t="s">
        <v>215</v>
      </c>
      <c r="AB39" s="186"/>
      <c r="AC39" s="186"/>
      <c r="AD39" s="23"/>
      <c r="AE39" s="23"/>
      <c r="AF39" s="4"/>
      <c r="AG39" s="4"/>
    </row>
    <row r="40" spans="1:33" s="21" customFormat="1">
      <c r="A40" s="184"/>
      <c r="B40" s="185">
        <f t="shared" si="1"/>
        <v>29</v>
      </c>
      <c r="C40" s="114" t="s">
        <v>451</v>
      </c>
      <c r="D40" s="115" t="s">
        <v>452</v>
      </c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24"/>
      <c r="V40" s="115" t="s">
        <v>103</v>
      </c>
      <c r="W40" s="115"/>
      <c r="X40" s="115"/>
      <c r="Y40" s="125"/>
      <c r="Z40" s="125">
        <v>5000</v>
      </c>
      <c r="AA40" s="123" t="s">
        <v>452</v>
      </c>
      <c r="AB40" s="186"/>
      <c r="AC40" s="186"/>
      <c r="AD40" s="23"/>
      <c r="AE40" s="23"/>
      <c r="AF40" s="4"/>
      <c r="AG40" s="4"/>
    </row>
    <row r="41" spans="1:33" s="21" customFormat="1">
      <c r="A41" s="184"/>
      <c r="B41" s="185">
        <f t="shared" si="1"/>
        <v>30</v>
      </c>
      <c r="C41" s="114" t="s">
        <v>453</v>
      </c>
      <c r="D41" s="115" t="s">
        <v>454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24"/>
      <c r="V41" s="115" t="s">
        <v>103</v>
      </c>
      <c r="W41" s="115"/>
      <c r="X41" s="115"/>
      <c r="Y41" s="125"/>
      <c r="Z41" s="125">
        <v>1500</v>
      </c>
      <c r="AA41" s="123" t="s">
        <v>454</v>
      </c>
      <c r="AB41" s="186"/>
      <c r="AC41" s="186"/>
      <c r="AD41" s="23"/>
      <c r="AE41" s="23"/>
      <c r="AF41" s="4"/>
      <c r="AG41" s="4"/>
    </row>
    <row r="42" spans="1:33" s="21" customFormat="1">
      <c r="A42" s="184"/>
      <c r="B42" s="185">
        <f t="shared" si="1"/>
        <v>31</v>
      </c>
      <c r="C42" s="114" t="s">
        <v>455</v>
      </c>
      <c r="D42" s="115" t="s">
        <v>456</v>
      </c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24"/>
      <c r="V42" s="115" t="s">
        <v>103</v>
      </c>
      <c r="W42" s="115"/>
      <c r="X42" s="115"/>
      <c r="Y42" s="125"/>
      <c r="Z42" s="125">
        <v>11900</v>
      </c>
      <c r="AA42" s="123" t="s">
        <v>456</v>
      </c>
      <c r="AB42" s="186"/>
      <c r="AC42" s="186"/>
      <c r="AD42" s="23"/>
      <c r="AE42" s="23"/>
      <c r="AF42" s="4"/>
      <c r="AG42" s="4"/>
    </row>
    <row r="43" spans="1:33" s="21" customFormat="1">
      <c r="A43" s="184"/>
      <c r="B43" s="185">
        <f t="shared" si="1"/>
        <v>32</v>
      </c>
      <c r="C43" s="114" t="s">
        <v>457</v>
      </c>
      <c r="D43" s="115" t="s">
        <v>458</v>
      </c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24"/>
      <c r="V43" s="115" t="s">
        <v>103</v>
      </c>
      <c r="W43" s="115"/>
      <c r="X43" s="115"/>
      <c r="Y43" s="125"/>
      <c r="Z43" s="125">
        <v>11900</v>
      </c>
      <c r="AA43" s="123" t="s">
        <v>458</v>
      </c>
      <c r="AB43" s="186"/>
      <c r="AC43" s="186"/>
      <c r="AD43" s="23"/>
      <c r="AE43" s="23"/>
      <c r="AF43" s="4"/>
      <c r="AG43" s="4"/>
    </row>
    <row r="44" spans="1:33" s="21" customFormat="1">
      <c r="A44" s="184"/>
      <c r="B44" s="185">
        <f t="shared" si="1"/>
        <v>33</v>
      </c>
      <c r="C44" s="114" t="s">
        <v>459</v>
      </c>
      <c r="D44" s="115" t="s">
        <v>356</v>
      </c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24"/>
      <c r="V44" s="115" t="s">
        <v>103</v>
      </c>
      <c r="W44" s="115"/>
      <c r="X44" s="115"/>
      <c r="Y44" s="125"/>
      <c r="Z44" s="125">
        <v>5000</v>
      </c>
      <c r="AA44" s="123" t="s">
        <v>356</v>
      </c>
      <c r="AB44" s="186"/>
      <c r="AC44" s="186"/>
      <c r="AD44" s="23"/>
      <c r="AE44" s="23"/>
      <c r="AF44" s="4"/>
      <c r="AG44" s="4"/>
    </row>
    <row r="45" spans="1:33" s="21" customFormat="1">
      <c r="A45" s="184"/>
      <c r="B45" s="185">
        <f t="shared" si="1"/>
        <v>34</v>
      </c>
      <c r="C45" s="114" t="s">
        <v>460</v>
      </c>
      <c r="D45" s="115" t="s">
        <v>357</v>
      </c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24"/>
      <c r="V45" s="115" t="s">
        <v>103</v>
      </c>
      <c r="W45" s="115"/>
      <c r="X45" s="115"/>
      <c r="Y45" s="125"/>
      <c r="Z45" s="125">
        <v>1500</v>
      </c>
      <c r="AA45" s="123" t="s">
        <v>357</v>
      </c>
      <c r="AB45" s="186"/>
      <c r="AC45" s="186"/>
      <c r="AD45" s="23"/>
      <c r="AE45" s="23"/>
      <c r="AF45" s="4"/>
      <c r="AG45" s="4"/>
    </row>
    <row r="46" spans="1:33" s="21" customFormat="1">
      <c r="A46" s="184"/>
      <c r="B46" s="185">
        <f t="shared" si="1"/>
        <v>35</v>
      </c>
      <c r="C46" s="114" t="s">
        <v>461</v>
      </c>
      <c r="D46" s="115" t="s">
        <v>358</v>
      </c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24"/>
      <c r="V46" s="115" t="s">
        <v>103</v>
      </c>
      <c r="W46" s="115"/>
      <c r="X46" s="115"/>
      <c r="Y46" s="125"/>
      <c r="Z46" s="125">
        <v>11900</v>
      </c>
      <c r="AA46" s="123" t="s">
        <v>358</v>
      </c>
      <c r="AB46" s="186"/>
      <c r="AC46" s="186"/>
      <c r="AD46" s="23"/>
      <c r="AE46" s="23"/>
      <c r="AF46" s="4"/>
      <c r="AG46" s="4"/>
    </row>
    <row r="47" spans="1:33" s="21" customFormat="1">
      <c r="A47" s="184"/>
      <c r="B47" s="185">
        <f t="shared" si="1"/>
        <v>36</v>
      </c>
      <c r="C47" s="114" t="s">
        <v>462</v>
      </c>
      <c r="D47" s="115" t="s">
        <v>359</v>
      </c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24"/>
      <c r="V47" s="115" t="s">
        <v>103</v>
      </c>
      <c r="W47" s="115"/>
      <c r="X47" s="115"/>
      <c r="Y47" s="125"/>
      <c r="Z47" s="125">
        <v>11900</v>
      </c>
      <c r="AA47" s="123" t="s">
        <v>359</v>
      </c>
      <c r="AB47" s="186"/>
      <c r="AC47" s="186"/>
      <c r="AD47" s="23"/>
      <c r="AE47" s="23"/>
      <c r="AF47" s="4"/>
      <c r="AG47" s="4"/>
    </row>
    <row r="48" spans="1:33" s="21" customFormat="1">
      <c r="A48" s="184"/>
      <c r="B48" s="185">
        <f t="shared" si="1"/>
        <v>37</v>
      </c>
      <c r="C48" s="114" t="s">
        <v>463</v>
      </c>
      <c r="D48" s="115" t="s">
        <v>464</v>
      </c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24"/>
      <c r="V48" s="115" t="s">
        <v>103</v>
      </c>
      <c r="W48" s="115"/>
      <c r="X48" s="115"/>
      <c r="Y48" s="125"/>
      <c r="Z48" s="125">
        <v>40000</v>
      </c>
      <c r="AA48" s="123" t="s">
        <v>464</v>
      </c>
      <c r="AB48" s="186"/>
      <c r="AC48" s="186"/>
      <c r="AD48" s="23"/>
      <c r="AE48" s="23"/>
      <c r="AF48" s="4"/>
      <c r="AG48" s="4"/>
    </row>
    <row r="49" spans="1:33" s="21" customFormat="1">
      <c r="A49" s="184"/>
      <c r="B49" s="185">
        <f t="shared" si="1"/>
        <v>38</v>
      </c>
      <c r="C49" s="114" t="s">
        <v>465</v>
      </c>
      <c r="D49" s="115" t="s">
        <v>466</v>
      </c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24"/>
      <c r="V49" s="115" t="s">
        <v>103</v>
      </c>
      <c r="W49" s="115"/>
      <c r="X49" s="115"/>
      <c r="Y49" s="125"/>
      <c r="Z49" s="125">
        <v>40000</v>
      </c>
      <c r="AA49" s="123" t="s">
        <v>466</v>
      </c>
      <c r="AB49" s="186"/>
      <c r="AC49" s="186"/>
      <c r="AD49" s="23"/>
      <c r="AE49" s="23"/>
      <c r="AF49" s="4"/>
      <c r="AG49" s="4"/>
    </row>
    <row r="50" spans="1:33" s="21" customFormat="1">
      <c r="A50" s="184"/>
      <c r="B50" s="185">
        <f t="shared" si="1"/>
        <v>39</v>
      </c>
      <c r="C50" s="198" t="s">
        <v>467</v>
      </c>
      <c r="D50" s="115" t="s">
        <v>468</v>
      </c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24"/>
      <c r="V50" s="115" t="s">
        <v>33</v>
      </c>
      <c r="W50" s="115">
        <v>10</v>
      </c>
      <c r="X50" s="115"/>
      <c r="Y50" s="125"/>
      <c r="Z50" s="125">
        <v>7</v>
      </c>
      <c r="AA50" s="123" t="s">
        <v>468</v>
      </c>
      <c r="AB50" s="186"/>
      <c r="AC50" s="186"/>
      <c r="AD50" s="23"/>
      <c r="AE50" s="23"/>
      <c r="AF50" s="4"/>
      <c r="AG50" s="4"/>
    </row>
    <row r="51" spans="1:33" s="21" customFormat="1">
      <c r="A51" s="184"/>
      <c r="B51" s="185">
        <f t="shared" si="1"/>
        <v>40</v>
      </c>
      <c r="C51" s="114" t="s">
        <v>469</v>
      </c>
      <c r="D51" s="115" t="s">
        <v>470</v>
      </c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24"/>
      <c r="V51" s="115" t="s">
        <v>103</v>
      </c>
      <c r="W51" s="115"/>
      <c r="X51" s="115"/>
      <c r="Y51" s="125"/>
      <c r="Z51" s="125">
        <v>1000</v>
      </c>
      <c r="AA51" s="123" t="s">
        <v>470</v>
      </c>
      <c r="AB51" s="186"/>
      <c r="AC51" s="186"/>
      <c r="AD51" s="23"/>
      <c r="AE51" s="23"/>
      <c r="AF51" s="4"/>
      <c r="AG51" s="4"/>
    </row>
    <row r="52" spans="1:33" s="21" customFormat="1">
      <c r="A52" s="184"/>
      <c r="B52" s="185">
        <f t="shared" si="1"/>
        <v>41</v>
      </c>
      <c r="C52" s="114" t="s">
        <v>218</v>
      </c>
      <c r="D52" s="115" t="s">
        <v>219</v>
      </c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24"/>
      <c r="V52" s="115" t="s">
        <v>103</v>
      </c>
      <c r="W52" s="115"/>
      <c r="X52" s="115"/>
      <c r="Y52" s="125"/>
      <c r="Z52" s="125">
        <v>2000</v>
      </c>
      <c r="AA52" s="123" t="s">
        <v>219</v>
      </c>
      <c r="AB52" s="186"/>
      <c r="AC52" s="186"/>
      <c r="AD52" s="23"/>
      <c r="AE52" s="23"/>
      <c r="AF52" s="4"/>
      <c r="AG52" s="4"/>
    </row>
    <row r="53" spans="1:33" s="21" customFormat="1">
      <c r="A53" s="184"/>
      <c r="B53" s="185">
        <f t="shared" si="1"/>
        <v>42</v>
      </c>
      <c r="C53" s="114" t="s">
        <v>191</v>
      </c>
      <c r="D53" s="115" t="s">
        <v>192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7"/>
      <c r="V53" s="116" t="s">
        <v>103</v>
      </c>
      <c r="W53" s="116"/>
      <c r="X53" s="116"/>
      <c r="Y53" s="118"/>
      <c r="Z53" s="118">
        <v>600</v>
      </c>
      <c r="AA53" s="119" t="s">
        <v>192</v>
      </c>
      <c r="AB53" s="186"/>
      <c r="AC53" s="186"/>
      <c r="AD53" s="23"/>
      <c r="AE53" s="23"/>
      <c r="AF53" s="4"/>
      <c r="AG53" s="4"/>
    </row>
    <row r="54" spans="1:33" s="21" customFormat="1">
      <c r="A54" s="184"/>
      <c r="B54" s="185">
        <f t="shared" si="1"/>
        <v>43</v>
      </c>
      <c r="C54" s="114" t="s">
        <v>216</v>
      </c>
      <c r="D54" s="115" t="s">
        <v>217</v>
      </c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24"/>
      <c r="V54" s="115" t="s">
        <v>103</v>
      </c>
      <c r="W54" s="115"/>
      <c r="X54" s="115"/>
      <c r="Y54" s="125"/>
      <c r="Z54" s="125">
        <v>100</v>
      </c>
      <c r="AA54" s="123" t="s">
        <v>217</v>
      </c>
      <c r="AB54" s="186"/>
      <c r="AC54" s="186"/>
      <c r="AD54" s="23"/>
      <c r="AE54" s="23"/>
      <c r="AF54" s="4"/>
      <c r="AG54" s="4"/>
    </row>
    <row r="55" spans="1:33" s="21" customFormat="1">
      <c r="A55" s="184"/>
      <c r="B55" s="185">
        <f t="shared" si="1"/>
        <v>44</v>
      </c>
      <c r="C55" s="114" t="s">
        <v>155</v>
      </c>
      <c r="D55" s="115" t="s">
        <v>220</v>
      </c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24"/>
      <c r="V55" s="115" t="s">
        <v>103</v>
      </c>
      <c r="W55" s="115"/>
      <c r="X55" s="115"/>
      <c r="Y55" s="125"/>
      <c r="Z55" s="125">
        <v>7000</v>
      </c>
      <c r="AA55" s="123" t="s">
        <v>220</v>
      </c>
      <c r="AB55" s="186"/>
      <c r="AC55" s="186"/>
      <c r="AD55" s="23"/>
      <c r="AE55" s="23"/>
      <c r="AF55" s="4"/>
      <c r="AG55" s="4"/>
    </row>
    <row r="56" spans="1:33" s="21" customFormat="1">
      <c r="A56" s="184"/>
      <c r="B56" s="185">
        <f t="shared" si="1"/>
        <v>45</v>
      </c>
      <c r="C56" s="114" t="s">
        <v>221</v>
      </c>
      <c r="D56" s="115" t="s">
        <v>222</v>
      </c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24"/>
      <c r="V56" s="115" t="s">
        <v>103</v>
      </c>
      <c r="W56" s="115"/>
      <c r="X56" s="115"/>
      <c r="Y56" s="125"/>
      <c r="Z56" s="125">
        <v>20000</v>
      </c>
      <c r="AA56" s="123" t="s">
        <v>222</v>
      </c>
      <c r="AB56" s="186"/>
      <c r="AC56" s="186"/>
      <c r="AD56" s="23"/>
      <c r="AE56" s="23"/>
      <c r="AF56" s="4"/>
      <c r="AG56" s="4"/>
    </row>
    <row r="57" spans="1:33" s="21" customFormat="1">
      <c r="A57" s="184"/>
      <c r="B57" s="185">
        <f t="shared" si="1"/>
        <v>46</v>
      </c>
      <c r="C57" s="114" t="s">
        <v>157</v>
      </c>
      <c r="D57" s="115" t="s">
        <v>158</v>
      </c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24" t="s">
        <v>27</v>
      </c>
      <c r="V57" s="115" t="s">
        <v>103</v>
      </c>
      <c r="W57" s="199"/>
      <c r="X57" s="115"/>
      <c r="Y57" s="125"/>
      <c r="Z57" s="125">
        <v>1000</v>
      </c>
      <c r="AA57" s="123" t="s">
        <v>158</v>
      </c>
      <c r="AB57" s="186"/>
      <c r="AC57" s="186"/>
      <c r="AD57" s="23"/>
      <c r="AE57" s="23"/>
      <c r="AF57" s="4"/>
      <c r="AG57" s="4"/>
    </row>
    <row r="58" spans="1:33" s="21" customFormat="1">
      <c r="A58" s="184"/>
      <c r="B58" s="185">
        <f t="shared" si="1"/>
        <v>47</v>
      </c>
      <c r="C58" s="114" t="s">
        <v>223</v>
      </c>
      <c r="D58" s="115" t="s">
        <v>224</v>
      </c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24"/>
      <c r="V58" s="115" t="s">
        <v>103</v>
      </c>
      <c r="W58" s="115"/>
      <c r="X58" s="115"/>
      <c r="Y58" s="125"/>
      <c r="Z58" s="125">
        <v>1000</v>
      </c>
      <c r="AA58" s="123" t="s">
        <v>224</v>
      </c>
      <c r="AB58" s="186"/>
      <c r="AC58" s="186"/>
      <c r="AD58" s="23"/>
      <c r="AE58" s="23"/>
      <c r="AF58" s="4"/>
      <c r="AG58" s="4"/>
    </row>
    <row r="59" spans="1:33" s="21" customFormat="1">
      <c r="A59" s="184"/>
      <c r="B59" s="185">
        <f t="shared" si="1"/>
        <v>48</v>
      </c>
      <c r="C59" s="114" t="s">
        <v>225</v>
      </c>
      <c r="D59" s="115" t="s">
        <v>201</v>
      </c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24"/>
      <c r="V59" s="115" t="s">
        <v>103</v>
      </c>
      <c r="W59" s="115"/>
      <c r="X59" s="115"/>
      <c r="Y59" s="125"/>
      <c r="Z59" s="125">
        <v>80000</v>
      </c>
      <c r="AA59" s="123" t="s">
        <v>201</v>
      </c>
      <c r="AB59" s="186"/>
      <c r="AC59" s="186"/>
      <c r="AD59" s="23"/>
      <c r="AE59" s="23"/>
      <c r="AF59" s="4"/>
      <c r="AG59" s="4"/>
    </row>
    <row r="60" spans="1:33" s="21" customFormat="1">
      <c r="A60" s="184"/>
      <c r="B60" s="185">
        <f t="shared" si="1"/>
        <v>49</v>
      </c>
      <c r="C60" s="114" t="s">
        <v>226</v>
      </c>
      <c r="D60" s="115" t="s">
        <v>227</v>
      </c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24"/>
      <c r="V60" s="115" t="s">
        <v>103</v>
      </c>
      <c r="W60" s="115"/>
      <c r="X60" s="115"/>
      <c r="Y60" s="125"/>
      <c r="Z60" s="125">
        <v>6000</v>
      </c>
      <c r="AA60" s="123" t="s">
        <v>227</v>
      </c>
      <c r="AB60" s="186"/>
      <c r="AC60" s="186"/>
      <c r="AD60" s="23"/>
      <c r="AE60" s="23"/>
      <c r="AF60" s="4"/>
      <c r="AG60" s="4"/>
    </row>
    <row r="61" spans="1:33" s="21" customFormat="1">
      <c r="A61" s="184"/>
      <c r="B61" s="185">
        <f t="shared" si="1"/>
        <v>50</v>
      </c>
      <c r="C61" s="114" t="s">
        <v>228</v>
      </c>
      <c r="D61" s="115" t="s">
        <v>229</v>
      </c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24"/>
      <c r="V61" s="115" t="s">
        <v>33</v>
      </c>
      <c r="W61" s="199">
        <v>100</v>
      </c>
      <c r="X61" s="115"/>
      <c r="Y61" s="125"/>
      <c r="Z61" s="125">
        <v>50</v>
      </c>
      <c r="AA61" s="123" t="s">
        <v>229</v>
      </c>
      <c r="AB61" s="186"/>
      <c r="AC61" s="186"/>
      <c r="AD61" s="23"/>
      <c r="AE61" s="23"/>
      <c r="AF61" s="4"/>
      <c r="AG61" s="4"/>
    </row>
    <row r="62" spans="1:33" s="21" customFormat="1">
      <c r="A62" s="184"/>
      <c r="B62" s="185">
        <f t="shared" si="1"/>
        <v>51</v>
      </c>
      <c r="C62" s="114" t="s">
        <v>230</v>
      </c>
      <c r="D62" s="115" t="s">
        <v>231</v>
      </c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24"/>
      <c r="V62" s="115" t="s">
        <v>33</v>
      </c>
      <c r="W62" s="199">
        <v>20</v>
      </c>
      <c r="X62" s="115"/>
      <c r="Y62" s="125"/>
      <c r="Z62" s="125">
        <v>5</v>
      </c>
      <c r="AA62" s="123" t="s">
        <v>231</v>
      </c>
      <c r="AB62" s="186"/>
      <c r="AC62" s="186"/>
      <c r="AD62" s="23"/>
      <c r="AE62" s="23"/>
      <c r="AF62" s="4"/>
      <c r="AG62" s="4"/>
    </row>
    <row r="63" spans="1:33" s="21" customFormat="1">
      <c r="A63" s="184"/>
      <c r="B63" s="185">
        <f t="shared" si="1"/>
        <v>52</v>
      </c>
      <c r="C63" s="114" t="s">
        <v>232</v>
      </c>
      <c r="D63" s="115" t="s">
        <v>471</v>
      </c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24"/>
      <c r="V63" s="115" t="s">
        <v>33</v>
      </c>
      <c r="W63" s="199">
        <v>20</v>
      </c>
      <c r="X63" s="115"/>
      <c r="Y63" s="125"/>
      <c r="Z63" s="125">
        <v>5</v>
      </c>
      <c r="AA63" s="123" t="s">
        <v>471</v>
      </c>
      <c r="AB63" s="186"/>
      <c r="AC63" s="186"/>
      <c r="AD63" s="23"/>
      <c r="AE63" s="23"/>
      <c r="AF63" s="4"/>
      <c r="AG63" s="4"/>
    </row>
    <row r="64" spans="1:33" s="21" customFormat="1">
      <c r="A64" s="184"/>
      <c r="B64" s="185">
        <f t="shared" si="1"/>
        <v>53</v>
      </c>
      <c r="C64" s="114" t="s">
        <v>233</v>
      </c>
      <c r="D64" s="115" t="s">
        <v>472</v>
      </c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24"/>
      <c r="V64" s="115" t="s">
        <v>74</v>
      </c>
      <c r="W64" s="199"/>
      <c r="X64" s="115"/>
      <c r="Y64" s="125"/>
      <c r="Z64" s="125"/>
      <c r="AA64" s="123" t="s">
        <v>472</v>
      </c>
      <c r="AB64" s="186"/>
      <c r="AC64" s="186"/>
      <c r="AD64" s="23"/>
      <c r="AE64" s="23"/>
      <c r="AF64" s="4"/>
      <c r="AG64" s="4"/>
    </row>
    <row r="65" spans="1:33" s="21" customFormat="1">
      <c r="A65" s="184"/>
      <c r="B65" s="185">
        <f t="shared" si="1"/>
        <v>54</v>
      </c>
      <c r="C65" s="114" t="s">
        <v>234</v>
      </c>
      <c r="D65" s="115" t="s">
        <v>473</v>
      </c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24"/>
      <c r="V65" s="115" t="s">
        <v>74</v>
      </c>
      <c r="W65" s="199"/>
      <c r="X65" s="115"/>
      <c r="Y65" s="125"/>
      <c r="Z65" s="125"/>
      <c r="AA65" s="123" t="s">
        <v>473</v>
      </c>
      <c r="AB65" s="186"/>
      <c r="AC65" s="186"/>
      <c r="AD65" s="23"/>
      <c r="AE65" s="23"/>
      <c r="AF65" s="4"/>
      <c r="AG65" s="4"/>
    </row>
    <row r="66" spans="1:33" s="21" customFormat="1">
      <c r="A66" s="184"/>
      <c r="B66" s="185">
        <f t="shared" si="1"/>
        <v>55</v>
      </c>
      <c r="C66" s="114" t="s">
        <v>235</v>
      </c>
      <c r="D66" s="115" t="s">
        <v>236</v>
      </c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24"/>
      <c r="V66" s="115" t="s">
        <v>33</v>
      </c>
      <c r="W66" s="115">
        <v>20</v>
      </c>
      <c r="X66" s="115"/>
      <c r="Y66" s="125"/>
      <c r="Z66" s="125">
        <v>10</v>
      </c>
      <c r="AA66" s="123" t="s">
        <v>236</v>
      </c>
      <c r="AB66" s="186"/>
      <c r="AC66" s="186"/>
      <c r="AD66" s="23"/>
      <c r="AE66" s="23"/>
      <c r="AF66" s="4"/>
      <c r="AG66" s="4"/>
    </row>
    <row r="67" spans="1:33" s="21" customFormat="1">
      <c r="A67" s="184"/>
      <c r="B67" s="185">
        <f t="shared" si="1"/>
        <v>56</v>
      </c>
      <c r="C67" s="187" t="s">
        <v>237</v>
      </c>
      <c r="D67" s="115" t="s">
        <v>474</v>
      </c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24"/>
      <c r="V67" s="115" t="s">
        <v>103</v>
      </c>
      <c r="W67" s="115"/>
      <c r="X67" s="115"/>
      <c r="Y67" s="125"/>
      <c r="Z67" s="125">
        <v>120000</v>
      </c>
      <c r="AA67" s="123" t="s">
        <v>474</v>
      </c>
      <c r="AB67" s="186"/>
      <c r="AC67" s="186"/>
      <c r="AD67" s="23"/>
      <c r="AE67" s="23"/>
      <c r="AF67" s="4"/>
      <c r="AG67" s="4"/>
    </row>
    <row r="68" spans="1:33" s="21" customFormat="1">
      <c r="A68" s="184"/>
      <c r="B68" s="185">
        <f t="shared" si="1"/>
        <v>57</v>
      </c>
      <c r="C68" s="187" t="s">
        <v>238</v>
      </c>
      <c r="D68" s="115" t="s">
        <v>239</v>
      </c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24"/>
      <c r="V68" s="127" t="s">
        <v>103</v>
      </c>
      <c r="W68" s="115"/>
      <c r="X68" s="115"/>
      <c r="Y68" s="125"/>
      <c r="Z68" s="125">
        <v>4100</v>
      </c>
      <c r="AA68" s="123" t="s">
        <v>239</v>
      </c>
      <c r="AB68" s="186"/>
      <c r="AC68" s="186"/>
      <c r="AD68" s="23"/>
      <c r="AE68" s="23"/>
      <c r="AF68" s="4"/>
      <c r="AG68" s="4"/>
    </row>
    <row r="69" spans="1:33" s="21" customFormat="1">
      <c r="A69" s="184"/>
      <c r="B69" s="185">
        <f t="shared" si="1"/>
        <v>58</v>
      </c>
      <c r="C69" s="187" t="s">
        <v>240</v>
      </c>
      <c r="D69" s="115" t="s">
        <v>241</v>
      </c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24"/>
      <c r="V69" s="115" t="s">
        <v>103</v>
      </c>
      <c r="W69" s="115"/>
      <c r="X69" s="115"/>
      <c r="Y69" s="125"/>
      <c r="Z69" s="125">
        <v>13000</v>
      </c>
      <c r="AA69" s="123" t="s">
        <v>241</v>
      </c>
      <c r="AB69" s="186"/>
      <c r="AC69" s="186"/>
      <c r="AD69" s="23"/>
      <c r="AE69" s="23"/>
      <c r="AF69" s="4"/>
      <c r="AG69" s="4"/>
    </row>
    <row r="70" spans="1:33" s="21" customFormat="1">
      <c r="A70" s="184"/>
      <c r="B70" s="185">
        <f t="shared" si="1"/>
        <v>59</v>
      </c>
      <c r="C70" s="187" t="s">
        <v>242</v>
      </c>
      <c r="D70" s="115" t="s">
        <v>243</v>
      </c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24"/>
      <c r="V70" s="127" t="s">
        <v>103</v>
      </c>
      <c r="W70" s="115"/>
      <c r="X70" s="115"/>
      <c r="Y70" s="125"/>
      <c r="Z70" s="125">
        <v>200</v>
      </c>
      <c r="AA70" s="123" t="s">
        <v>243</v>
      </c>
      <c r="AB70" s="186"/>
      <c r="AC70" s="186"/>
      <c r="AD70" s="23"/>
      <c r="AE70" s="23"/>
      <c r="AF70" s="4"/>
      <c r="AG70" s="4"/>
    </row>
    <row r="71" spans="1:33" s="21" customFormat="1">
      <c r="A71" s="184"/>
      <c r="B71" s="185">
        <f t="shared" si="1"/>
        <v>60</v>
      </c>
      <c r="C71" s="115" t="s">
        <v>244</v>
      </c>
      <c r="D71" s="115" t="s">
        <v>245</v>
      </c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24"/>
      <c r="V71" s="127" t="s">
        <v>103</v>
      </c>
      <c r="W71" s="115"/>
      <c r="X71" s="115"/>
      <c r="Y71" s="125"/>
      <c r="Z71" s="125">
        <v>500</v>
      </c>
      <c r="AA71" s="123" t="s">
        <v>245</v>
      </c>
      <c r="AB71" s="186"/>
      <c r="AC71" s="186"/>
      <c r="AD71" s="23"/>
      <c r="AE71" s="23"/>
      <c r="AF71" s="4"/>
      <c r="AG71" s="4"/>
    </row>
    <row r="72" spans="1:33" s="21" customFormat="1">
      <c r="A72" s="184"/>
      <c r="B72" s="185">
        <f t="shared" si="1"/>
        <v>61</v>
      </c>
      <c r="C72" s="115" t="s">
        <v>246</v>
      </c>
      <c r="D72" s="115" t="s">
        <v>247</v>
      </c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24"/>
      <c r="V72" s="127" t="s">
        <v>103</v>
      </c>
      <c r="W72" s="115"/>
      <c r="X72" s="115"/>
      <c r="Y72" s="125"/>
      <c r="Z72" s="125">
        <v>3000</v>
      </c>
      <c r="AA72" s="123" t="s">
        <v>247</v>
      </c>
      <c r="AB72" s="186"/>
      <c r="AC72" s="186"/>
      <c r="AD72" s="23"/>
      <c r="AE72" s="23"/>
      <c r="AF72" s="4"/>
      <c r="AG72" s="4"/>
    </row>
    <row r="73" spans="1:33" s="21" customFormat="1">
      <c r="A73" s="184"/>
      <c r="B73" s="185">
        <f t="shared" si="1"/>
        <v>62</v>
      </c>
      <c r="C73" s="114" t="s">
        <v>248</v>
      </c>
      <c r="D73" s="115" t="s">
        <v>249</v>
      </c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24"/>
      <c r="V73" s="115" t="s">
        <v>103</v>
      </c>
      <c r="W73" s="199"/>
      <c r="X73" s="115"/>
      <c r="Y73" s="125"/>
      <c r="Z73" s="125">
        <v>500</v>
      </c>
      <c r="AA73" s="123" t="s">
        <v>249</v>
      </c>
      <c r="AB73" s="186"/>
      <c r="AC73" s="186"/>
      <c r="AD73" s="23"/>
      <c r="AE73" s="23"/>
      <c r="AF73" s="4"/>
      <c r="AG73" s="4"/>
    </row>
    <row r="74" spans="1:33" s="21" customFormat="1">
      <c r="A74" s="184"/>
      <c r="B74" s="185">
        <f t="shared" si="1"/>
        <v>63</v>
      </c>
      <c r="C74" s="114" t="s">
        <v>250</v>
      </c>
      <c r="D74" s="115" t="s">
        <v>251</v>
      </c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24"/>
      <c r="V74" s="115" t="s">
        <v>103</v>
      </c>
      <c r="W74" s="115"/>
      <c r="X74" s="115"/>
      <c r="Y74" s="125"/>
      <c r="Z74" s="125">
        <v>1000</v>
      </c>
      <c r="AA74" s="123" t="s">
        <v>251</v>
      </c>
      <c r="AB74" s="186"/>
      <c r="AC74" s="186"/>
      <c r="AD74" s="23"/>
      <c r="AE74" s="23"/>
      <c r="AF74" s="4"/>
      <c r="AG74" s="4"/>
    </row>
    <row r="75" spans="1:33" s="21" customFormat="1">
      <c r="A75" s="184"/>
      <c r="B75" s="185">
        <f t="shared" si="1"/>
        <v>64</v>
      </c>
      <c r="C75" s="187" t="s">
        <v>252</v>
      </c>
      <c r="D75" s="115" t="s">
        <v>253</v>
      </c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24"/>
      <c r="V75" s="115" t="s">
        <v>103</v>
      </c>
      <c r="W75" s="115"/>
      <c r="X75" s="115"/>
      <c r="Y75" s="125"/>
      <c r="Z75" s="125">
        <v>47000</v>
      </c>
      <c r="AA75" s="123" t="s">
        <v>253</v>
      </c>
      <c r="AB75" s="186"/>
      <c r="AC75" s="186"/>
      <c r="AD75" s="23"/>
      <c r="AE75" s="23"/>
      <c r="AF75" s="4"/>
      <c r="AG75" s="4"/>
    </row>
    <row r="76" spans="1:33" s="21" customFormat="1">
      <c r="A76" s="201"/>
      <c r="B76" s="202">
        <f t="shared" si="1"/>
        <v>65</v>
      </c>
      <c r="C76" s="203" t="s">
        <v>475</v>
      </c>
      <c r="D76" s="171" t="s">
        <v>476</v>
      </c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3"/>
      <c r="V76" s="174" t="s">
        <v>33</v>
      </c>
      <c r="W76" s="171">
        <v>256</v>
      </c>
      <c r="X76" s="171"/>
      <c r="Y76" s="126"/>
      <c r="Z76" s="126">
        <v>50</v>
      </c>
      <c r="AA76" s="172" t="s">
        <v>476</v>
      </c>
      <c r="AB76" s="204"/>
      <c r="AC76" s="204"/>
      <c r="AD76" s="23"/>
      <c r="AE76" s="23"/>
      <c r="AF76" s="4"/>
      <c r="AG76" s="4"/>
    </row>
    <row r="77" spans="1:33" s="21" customFormat="1">
      <c r="A77" s="201"/>
      <c r="B77" s="202">
        <f t="shared" si="1"/>
        <v>66</v>
      </c>
      <c r="C77" s="203" t="s">
        <v>477</v>
      </c>
      <c r="D77" s="171" t="s">
        <v>478</v>
      </c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3"/>
      <c r="V77" s="171" t="s">
        <v>33</v>
      </c>
      <c r="W77" s="171">
        <v>256</v>
      </c>
      <c r="X77" s="171"/>
      <c r="Y77" s="126"/>
      <c r="Z77" s="126">
        <v>50</v>
      </c>
      <c r="AA77" s="172" t="s">
        <v>478</v>
      </c>
      <c r="AB77" s="204"/>
      <c r="AC77" s="204"/>
      <c r="AD77" s="23"/>
      <c r="AE77" s="23"/>
      <c r="AF77" s="4"/>
      <c r="AG77" s="4"/>
    </row>
    <row r="78" spans="1:33" s="21" customFormat="1">
      <c r="A78" s="201"/>
      <c r="B78" s="202">
        <f t="shared" si="1"/>
        <v>67</v>
      </c>
      <c r="C78" s="203" t="s">
        <v>516</v>
      </c>
      <c r="D78" s="171" t="s">
        <v>518</v>
      </c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3"/>
      <c r="V78" s="171" t="s">
        <v>103</v>
      </c>
      <c r="W78" s="171"/>
      <c r="X78" s="171"/>
      <c r="Y78" s="126"/>
      <c r="Z78" s="126">
        <v>100</v>
      </c>
      <c r="AA78" s="172" t="s">
        <v>518</v>
      </c>
      <c r="AB78" s="204"/>
      <c r="AC78" s="204"/>
      <c r="AD78" s="23"/>
      <c r="AE78" s="23"/>
      <c r="AF78" s="4"/>
      <c r="AG78" s="4"/>
    </row>
    <row r="79" spans="1:33" s="21" customFormat="1">
      <c r="A79" s="184"/>
      <c r="B79" s="185">
        <f t="shared" si="1"/>
        <v>68</v>
      </c>
      <c r="C79" s="187" t="s">
        <v>68</v>
      </c>
      <c r="D79" s="115" t="s">
        <v>87</v>
      </c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24" t="s">
        <v>27</v>
      </c>
      <c r="V79" s="127" t="s">
        <v>28</v>
      </c>
      <c r="W79" s="115">
        <v>1</v>
      </c>
      <c r="X79" s="115"/>
      <c r="Y79" s="125"/>
      <c r="Z79" s="125"/>
      <c r="AA79" s="123" t="s">
        <v>87</v>
      </c>
      <c r="AB79" s="186"/>
      <c r="AC79" s="186"/>
      <c r="AD79" s="23"/>
      <c r="AE79" s="23"/>
      <c r="AF79" s="4"/>
      <c r="AG79" s="4"/>
    </row>
    <row r="80" spans="1:33" s="21" customFormat="1">
      <c r="A80" s="184"/>
      <c r="B80" s="185">
        <f t="shared" si="1"/>
        <v>69</v>
      </c>
      <c r="C80" s="187" t="s">
        <v>69</v>
      </c>
      <c r="D80" s="115" t="s">
        <v>88</v>
      </c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24" t="s">
        <v>27</v>
      </c>
      <c r="V80" s="115" t="s">
        <v>29</v>
      </c>
      <c r="W80" s="115"/>
      <c r="X80" s="115"/>
      <c r="Y80" s="125"/>
      <c r="Z80" s="125"/>
      <c r="AA80" s="123" t="s">
        <v>88</v>
      </c>
      <c r="AB80" s="186"/>
      <c r="AC80" s="186"/>
      <c r="AD80" s="23"/>
      <c r="AE80" s="23"/>
      <c r="AF80" s="4"/>
      <c r="AG80" s="4"/>
    </row>
    <row r="81" spans="1:33" s="21" customFormat="1">
      <c r="A81" s="184"/>
      <c r="B81" s="185">
        <f t="shared" si="1"/>
        <v>70</v>
      </c>
      <c r="C81" s="187" t="s">
        <v>70</v>
      </c>
      <c r="D81" s="115" t="s">
        <v>89</v>
      </c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24" t="s">
        <v>27</v>
      </c>
      <c r="V81" s="127" t="s">
        <v>33</v>
      </c>
      <c r="W81" s="115">
        <v>20</v>
      </c>
      <c r="X81" s="115"/>
      <c r="Y81" s="125"/>
      <c r="Z81" s="125">
        <v>15</v>
      </c>
      <c r="AA81" s="123" t="s">
        <v>89</v>
      </c>
      <c r="AB81" s="186"/>
      <c r="AC81" s="186"/>
      <c r="AD81" s="23"/>
      <c r="AE81" s="23"/>
      <c r="AF81" s="4"/>
      <c r="AG81" s="4"/>
    </row>
    <row r="82" spans="1:33" s="21" customFormat="1">
      <c r="A82" s="184"/>
      <c r="B82" s="185">
        <f t="shared" si="1"/>
        <v>71</v>
      </c>
      <c r="C82" s="115" t="s">
        <v>71</v>
      </c>
      <c r="D82" s="115" t="s">
        <v>90</v>
      </c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24" t="s">
        <v>27</v>
      </c>
      <c r="V82" s="127" t="s">
        <v>29</v>
      </c>
      <c r="W82" s="115"/>
      <c r="X82" s="115"/>
      <c r="Y82" s="125"/>
      <c r="Z82" s="125"/>
      <c r="AA82" s="123" t="s">
        <v>90</v>
      </c>
      <c r="AB82" s="186"/>
      <c r="AC82" s="186"/>
      <c r="AD82" s="23"/>
      <c r="AE82" s="23"/>
      <c r="AF82" s="4"/>
      <c r="AG82" s="4"/>
    </row>
    <row r="83" spans="1:33" s="21" customFormat="1">
      <c r="A83" s="184"/>
      <c r="B83" s="185">
        <f t="shared" si="1"/>
        <v>72</v>
      </c>
      <c r="C83" s="114" t="s">
        <v>72</v>
      </c>
      <c r="D83" s="115" t="s">
        <v>91</v>
      </c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24" t="s">
        <v>27</v>
      </c>
      <c r="V83" s="115" t="s">
        <v>33</v>
      </c>
      <c r="W83" s="199">
        <v>20</v>
      </c>
      <c r="X83" s="115"/>
      <c r="Y83" s="125"/>
      <c r="Z83" s="125">
        <v>15</v>
      </c>
      <c r="AA83" s="123" t="s">
        <v>91</v>
      </c>
      <c r="AB83" s="186"/>
      <c r="AC83" s="186"/>
      <c r="AD83" s="23"/>
      <c r="AE83" s="23"/>
      <c r="AF83" s="4"/>
      <c r="AG83" s="4"/>
    </row>
    <row r="84" spans="1:33" s="21" customFormat="1">
      <c r="A84" s="25"/>
      <c r="B84" s="185">
        <f t="shared" si="1"/>
        <v>73</v>
      </c>
      <c r="C84" s="114" t="s">
        <v>73</v>
      </c>
      <c r="D84" s="115" t="s">
        <v>78</v>
      </c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24" t="s">
        <v>27</v>
      </c>
      <c r="V84" s="115" t="s">
        <v>74</v>
      </c>
      <c r="W84" s="199"/>
      <c r="X84" s="115"/>
      <c r="Y84" s="125"/>
      <c r="Z84" s="125"/>
      <c r="AA84" s="123" t="s">
        <v>78</v>
      </c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ref="B85:B87" si="2">ROW()-11</f>
        <v>74</v>
      </c>
      <c r="C85" s="71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72"/>
      <c r="W85" s="26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2"/>
        <v>75</v>
      </c>
      <c r="C86" s="34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72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2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72"/>
      <c r="W87" s="26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ref="B88:B126" si="3">ROW()-11</f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72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3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3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3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3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3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3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3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3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3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3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3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3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3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3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3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3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1" customFormat="1">
      <c r="A105" s="25"/>
      <c r="B105" s="24">
        <f t="shared" si="3"/>
        <v>94</v>
      </c>
      <c r="C105" s="15"/>
      <c r="D105" s="5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59"/>
      <c r="V105" s="34"/>
      <c r="W105" s="68"/>
      <c r="X105" s="26"/>
      <c r="Y105" s="35"/>
      <c r="Z105" s="35"/>
      <c r="AA105" s="43"/>
      <c r="AB105" s="40"/>
      <c r="AC105" s="40"/>
      <c r="AD105" s="23"/>
      <c r="AE105" s="23"/>
      <c r="AF105" s="4"/>
      <c r="AG105" s="4"/>
    </row>
    <row r="106" spans="1:33" s="21" customFormat="1">
      <c r="A106" s="25"/>
      <c r="B106" s="24">
        <f t="shared" si="3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34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1" customFormat="1">
      <c r="A107" s="25"/>
      <c r="B107" s="24">
        <f t="shared" si="3"/>
        <v>96</v>
      </c>
      <c r="C107" s="15"/>
      <c r="D107" s="5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59"/>
      <c r="V107" s="34"/>
      <c r="W107" s="68"/>
      <c r="X107" s="26"/>
      <c r="Y107" s="35"/>
      <c r="Z107" s="35"/>
      <c r="AA107" s="43"/>
      <c r="AB107" s="40"/>
      <c r="AC107" s="40"/>
      <c r="AD107" s="23"/>
      <c r="AE107" s="23"/>
      <c r="AF107" s="4"/>
      <c r="AG107" s="4"/>
    </row>
    <row r="108" spans="1:33" s="21" customFormat="1">
      <c r="A108" s="25"/>
      <c r="B108" s="24">
        <f t="shared" si="3"/>
        <v>97</v>
      </c>
      <c r="C108" s="15"/>
      <c r="D108" s="5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59"/>
      <c r="V108" s="34"/>
      <c r="W108" s="68"/>
      <c r="X108" s="26"/>
      <c r="Y108" s="35"/>
      <c r="Z108" s="35"/>
      <c r="AA108" s="43"/>
      <c r="AB108" s="40"/>
      <c r="AC108" s="40"/>
      <c r="AD108" s="23"/>
      <c r="AE108" s="23"/>
      <c r="AF108" s="4"/>
      <c r="AG108" s="4"/>
    </row>
    <row r="109" spans="1:33" s="21" customFormat="1">
      <c r="A109" s="25"/>
      <c r="B109" s="24">
        <f t="shared" si="3"/>
        <v>98</v>
      </c>
      <c r="C109" s="15"/>
      <c r="D109" s="5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59"/>
      <c r="V109" s="34"/>
      <c r="W109" s="68"/>
      <c r="X109" s="26"/>
      <c r="Y109" s="35"/>
      <c r="Z109" s="35"/>
      <c r="AA109" s="43"/>
      <c r="AB109" s="40"/>
      <c r="AC109" s="40"/>
      <c r="AD109" s="23"/>
      <c r="AE109" s="23"/>
      <c r="AF109" s="4"/>
      <c r="AG109" s="4"/>
    </row>
    <row r="110" spans="1:33" s="21" customFormat="1">
      <c r="A110" s="25"/>
      <c r="B110" s="24">
        <f t="shared" si="3"/>
        <v>99</v>
      </c>
      <c r="C110" s="15"/>
      <c r="D110" s="5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59"/>
      <c r="V110" s="34"/>
      <c r="W110" s="68"/>
      <c r="X110" s="26"/>
      <c r="Y110" s="35"/>
      <c r="Z110" s="35"/>
      <c r="AA110" s="43"/>
      <c r="AB110" s="40"/>
      <c r="AC110" s="40"/>
      <c r="AD110" s="23"/>
      <c r="AE110" s="23"/>
      <c r="AF110" s="4"/>
      <c r="AG110" s="4"/>
    </row>
    <row r="111" spans="1:33" s="21" customFormat="1">
      <c r="A111" s="25"/>
      <c r="B111" s="24">
        <f t="shared" si="3"/>
        <v>100</v>
      </c>
      <c r="C111" s="15"/>
      <c r="D111" s="5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59"/>
      <c r="V111" s="34"/>
      <c r="W111" s="68"/>
      <c r="X111" s="26"/>
      <c r="Y111" s="35"/>
      <c r="Z111" s="35"/>
      <c r="AA111" s="43"/>
      <c r="AB111" s="40"/>
      <c r="AC111" s="40"/>
      <c r="AD111" s="23"/>
      <c r="AE111" s="23"/>
      <c r="AF111" s="4"/>
      <c r="AG111" s="4"/>
    </row>
    <row r="112" spans="1:33" s="21" customFormat="1">
      <c r="A112" s="25"/>
      <c r="B112" s="24">
        <f t="shared" si="3"/>
        <v>101</v>
      </c>
      <c r="C112" s="15"/>
      <c r="D112" s="5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59"/>
      <c r="V112" s="34"/>
      <c r="W112" s="68"/>
      <c r="X112" s="26"/>
      <c r="Y112" s="35"/>
      <c r="Z112" s="35"/>
      <c r="AA112" s="43"/>
      <c r="AB112" s="40"/>
      <c r="AC112" s="40"/>
      <c r="AD112" s="23"/>
      <c r="AE112" s="23"/>
      <c r="AF112" s="4"/>
      <c r="AG112" s="4"/>
    </row>
    <row r="113" spans="1:33" s="21" customFormat="1">
      <c r="A113" s="25"/>
      <c r="B113" s="24">
        <f t="shared" si="3"/>
        <v>102</v>
      </c>
      <c r="C113" s="15"/>
      <c r="D113" s="5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59"/>
      <c r="V113" s="34"/>
      <c r="W113" s="68"/>
      <c r="X113" s="26"/>
      <c r="Y113" s="35"/>
      <c r="Z113" s="35"/>
      <c r="AA113" s="43"/>
      <c r="AB113" s="40"/>
      <c r="AC113" s="40"/>
      <c r="AD113" s="23"/>
      <c r="AE113" s="23"/>
      <c r="AF113" s="4"/>
      <c r="AG113" s="4"/>
    </row>
    <row r="114" spans="1:33" s="21" customFormat="1">
      <c r="A114" s="25"/>
      <c r="B114" s="24">
        <f t="shared" si="3"/>
        <v>103</v>
      </c>
      <c r="C114" s="15"/>
      <c r="D114" s="5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59"/>
      <c r="V114" s="34"/>
      <c r="W114" s="68"/>
      <c r="X114" s="26"/>
      <c r="Y114" s="35"/>
      <c r="Z114" s="35"/>
      <c r="AA114" s="43"/>
      <c r="AB114" s="40"/>
      <c r="AC114" s="40"/>
      <c r="AD114" s="23"/>
      <c r="AE114" s="23"/>
      <c r="AF114" s="4"/>
      <c r="AG114" s="4"/>
    </row>
    <row r="115" spans="1:33" s="21" customFormat="1">
      <c r="A115" s="25"/>
      <c r="B115" s="24">
        <f t="shared" si="3"/>
        <v>104</v>
      </c>
      <c r="C115" s="15"/>
      <c r="D115" s="5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59"/>
      <c r="V115" s="34"/>
      <c r="W115" s="68"/>
      <c r="X115" s="26"/>
      <c r="Y115" s="35"/>
      <c r="Z115" s="35"/>
      <c r="AA115" s="43"/>
      <c r="AB115" s="40"/>
      <c r="AC115" s="40"/>
      <c r="AD115" s="23"/>
      <c r="AE115" s="23"/>
      <c r="AF115" s="4"/>
      <c r="AG115" s="4"/>
    </row>
    <row r="116" spans="1:33" s="21" customFormat="1">
      <c r="A116" s="25"/>
      <c r="B116" s="24">
        <f t="shared" si="3"/>
        <v>105</v>
      </c>
      <c r="C116" s="15"/>
      <c r="D116" s="5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59"/>
      <c r="V116" s="34"/>
      <c r="W116" s="68"/>
      <c r="X116" s="26"/>
      <c r="Y116" s="35"/>
      <c r="Z116" s="35"/>
      <c r="AA116" s="43"/>
      <c r="AB116" s="40"/>
      <c r="AC116" s="40"/>
      <c r="AD116" s="23"/>
      <c r="AE116" s="23"/>
      <c r="AF116" s="4"/>
      <c r="AG116" s="4"/>
    </row>
    <row r="117" spans="1:33" s="23" customFormat="1">
      <c r="A117" s="22"/>
      <c r="B117" s="24">
        <f t="shared" si="3"/>
        <v>106</v>
      </c>
      <c r="C117" s="15"/>
      <c r="D117" s="72"/>
      <c r="E117" s="73"/>
      <c r="F117" s="73"/>
      <c r="G117" s="73"/>
      <c r="H117" s="73"/>
      <c r="I117" s="73"/>
      <c r="J117" s="73"/>
      <c r="K117" s="74"/>
      <c r="L117" s="73"/>
      <c r="M117" s="73"/>
      <c r="N117" s="73"/>
      <c r="O117" s="26"/>
      <c r="P117" s="73"/>
      <c r="Q117" s="73"/>
      <c r="R117" s="73"/>
      <c r="S117" s="72"/>
      <c r="T117" s="73"/>
      <c r="U117" s="73"/>
      <c r="V117" s="73"/>
      <c r="W117" s="26"/>
      <c r="X117" s="26"/>
      <c r="Y117" s="26"/>
      <c r="Z117" s="75"/>
      <c r="AA117" s="76"/>
      <c r="AB117" s="77"/>
      <c r="AC117" s="77"/>
      <c r="AF117" s="4"/>
      <c r="AG117" s="4"/>
    </row>
    <row r="118" spans="1:33" s="27" customFormat="1">
      <c r="A118" s="25"/>
      <c r="B118" s="24">
        <f t="shared" si="3"/>
        <v>107</v>
      </c>
      <c r="C118" s="15"/>
      <c r="D118" s="5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59"/>
      <c r="V118" s="68"/>
      <c r="W118" s="68"/>
      <c r="X118" s="26"/>
      <c r="Y118" s="35"/>
      <c r="Z118" s="35"/>
      <c r="AA118" s="43"/>
      <c r="AB118" s="40"/>
      <c r="AC118" s="40"/>
      <c r="AD118" s="23"/>
      <c r="AE118" s="23"/>
      <c r="AF118" s="4"/>
      <c r="AG118" s="4"/>
    </row>
    <row r="119" spans="1:33" s="27" customFormat="1">
      <c r="A119" s="25"/>
      <c r="B119" s="24">
        <f t="shared" si="3"/>
        <v>108</v>
      </c>
      <c r="C119" s="15"/>
      <c r="D119" s="72"/>
      <c r="E119" s="73"/>
      <c r="F119" s="73"/>
      <c r="G119" s="73"/>
      <c r="H119" s="73"/>
      <c r="I119" s="73"/>
      <c r="J119" s="73"/>
      <c r="K119" s="74"/>
      <c r="L119" s="73"/>
      <c r="M119" s="73"/>
      <c r="N119" s="73"/>
      <c r="O119" s="26"/>
      <c r="P119" s="73"/>
      <c r="Q119" s="73"/>
      <c r="R119" s="73"/>
      <c r="S119" s="72"/>
      <c r="T119" s="73"/>
      <c r="U119" s="73"/>
      <c r="V119" s="73"/>
      <c r="W119" s="26"/>
      <c r="X119" s="26"/>
      <c r="Y119" s="26"/>
      <c r="Z119" s="75"/>
      <c r="AA119" s="76"/>
      <c r="AB119" s="77"/>
      <c r="AC119" s="77"/>
      <c r="AD119" s="23"/>
      <c r="AE119" s="23"/>
      <c r="AF119" s="4"/>
      <c r="AG119" s="4"/>
    </row>
    <row r="120" spans="1:33" s="27" customFormat="1">
      <c r="A120" s="25"/>
      <c r="B120" s="24">
        <f t="shared" si="3"/>
        <v>109</v>
      </c>
      <c r="C120" s="15"/>
      <c r="D120" s="72"/>
      <c r="E120" s="73"/>
      <c r="F120" s="73"/>
      <c r="G120" s="73"/>
      <c r="H120" s="73"/>
      <c r="I120" s="73"/>
      <c r="J120" s="73"/>
      <c r="K120" s="74"/>
      <c r="L120" s="73"/>
      <c r="M120" s="73"/>
      <c r="N120" s="73"/>
      <c r="O120" s="26"/>
      <c r="P120" s="73"/>
      <c r="Q120" s="73"/>
      <c r="R120" s="73"/>
      <c r="S120" s="72"/>
      <c r="T120" s="73"/>
      <c r="U120" s="73"/>
      <c r="V120" s="73"/>
      <c r="W120" s="26"/>
      <c r="X120" s="26"/>
      <c r="Y120" s="26"/>
      <c r="Z120" s="75"/>
      <c r="AA120" s="76"/>
      <c r="AB120" s="77"/>
      <c r="AC120" s="77"/>
      <c r="AD120" s="23"/>
      <c r="AE120" s="23"/>
      <c r="AF120" s="4"/>
      <c r="AG120" s="4"/>
    </row>
    <row r="121" spans="1:33" s="27" customFormat="1">
      <c r="A121" s="25"/>
      <c r="B121" s="24">
        <f t="shared" si="3"/>
        <v>110</v>
      </c>
      <c r="C121" s="15"/>
      <c r="D121" s="72"/>
      <c r="E121" s="73"/>
      <c r="F121" s="73"/>
      <c r="G121" s="73"/>
      <c r="H121" s="73"/>
      <c r="I121" s="73"/>
      <c r="J121" s="73"/>
      <c r="K121" s="74"/>
      <c r="L121" s="73"/>
      <c r="M121" s="73"/>
      <c r="N121" s="73"/>
      <c r="O121" s="26"/>
      <c r="P121" s="73"/>
      <c r="Q121" s="73"/>
      <c r="R121" s="73"/>
      <c r="S121" s="72"/>
      <c r="T121" s="73"/>
      <c r="U121" s="73"/>
      <c r="V121" s="73"/>
      <c r="W121" s="26"/>
      <c r="X121" s="26"/>
      <c r="Y121" s="26"/>
      <c r="Z121" s="75"/>
      <c r="AA121" s="76"/>
      <c r="AB121" s="77"/>
      <c r="AC121" s="77"/>
      <c r="AD121" s="23"/>
      <c r="AE121" s="23"/>
      <c r="AF121" s="4"/>
      <c r="AG121" s="4"/>
    </row>
    <row r="122" spans="1:33" s="27" customFormat="1">
      <c r="A122" s="25"/>
      <c r="B122" s="24">
        <f t="shared" si="3"/>
        <v>111</v>
      </c>
      <c r="C122" s="15"/>
      <c r="D122" s="72"/>
      <c r="E122" s="73"/>
      <c r="F122" s="73"/>
      <c r="G122" s="73"/>
      <c r="H122" s="73"/>
      <c r="I122" s="73"/>
      <c r="J122" s="73"/>
      <c r="K122" s="74"/>
      <c r="L122" s="73"/>
      <c r="M122" s="73"/>
      <c r="N122" s="73"/>
      <c r="O122" s="26"/>
      <c r="P122" s="73"/>
      <c r="Q122" s="73"/>
      <c r="R122" s="73"/>
      <c r="S122" s="72"/>
      <c r="T122" s="73"/>
      <c r="U122" s="73"/>
      <c r="V122" s="73"/>
      <c r="W122" s="26"/>
      <c r="X122" s="26"/>
      <c r="Y122" s="26"/>
      <c r="Z122" s="75"/>
      <c r="AA122" s="76"/>
      <c r="AB122" s="77"/>
      <c r="AC122" s="77"/>
      <c r="AD122" s="23"/>
      <c r="AE122" s="23"/>
      <c r="AF122" s="4"/>
      <c r="AG122" s="4"/>
    </row>
    <row r="123" spans="1:33" s="27" customFormat="1">
      <c r="A123" s="25"/>
      <c r="B123" s="24">
        <f t="shared" si="3"/>
        <v>112</v>
      </c>
      <c r="C123" s="15"/>
      <c r="D123" s="72"/>
      <c r="E123" s="73"/>
      <c r="F123" s="73"/>
      <c r="G123" s="73"/>
      <c r="H123" s="73"/>
      <c r="I123" s="73"/>
      <c r="J123" s="73"/>
      <c r="K123" s="74"/>
      <c r="L123" s="73"/>
      <c r="M123" s="73"/>
      <c r="N123" s="73"/>
      <c r="O123" s="26"/>
      <c r="P123" s="73"/>
      <c r="Q123" s="73"/>
      <c r="R123" s="73"/>
      <c r="S123" s="72"/>
      <c r="T123" s="73"/>
      <c r="U123" s="73"/>
      <c r="V123" s="73"/>
      <c r="W123" s="26"/>
      <c r="X123" s="26"/>
      <c r="Y123" s="26"/>
      <c r="Z123" s="75"/>
      <c r="AA123" s="76"/>
      <c r="AB123" s="77"/>
      <c r="AC123" s="77"/>
      <c r="AD123" s="23"/>
      <c r="AE123" s="23"/>
      <c r="AF123" s="4"/>
      <c r="AG123" s="4"/>
    </row>
    <row r="124" spans="1:33" s="27" customFormat="1">
      <c r="A124" s="25"/>
      <c r="B124" s="24">
        <f t="shared" si="3"/>
        <v>113</v>
      </c>
      <c r="C124" s="15"/>
      <c r="D124" s="72"/>
      <c r="E124" s="73"/>
      <c r="F124" s="73"/>
      <c r="G124" s="73"/>
      <c r="H124" s="73"/>
      <c r="I124" s="73"/>
      <c r="J124" s="73"/>
      <c r="K124" s="74"/>
      <c r="L124" s="73"/>
      <c r="M124" s="73"/>
      <c r="N124" s="73"/>
      <c r="O124" s="26"/>
      <c r="P124" s="73"/>
      <c r="Q124" s="73"/>
      <c r="R124" s="73"/>
      <c r="S124" s="72"/>
      <c r="T124" s="73"/>
      <c r="U124" s="73"/>
      <c r="V124" s="73"/>
      <c r="W124" s="26"/>
      <c r="X124" s="26"/>
      <c r="Y124" s="26"/>
      <c r="Z124" s="75"/>
      <c r="AA124" s="76"/>
      <c r="AB124" s="77"/>
      <c r="AC124" s="77"/>
      <c r="AD124" s="23"/>
      <c r="AE124" s="23"/>
      <c r="AF124" s="4"/>
      <c r="AG124" s="4"/>
    </row>
    <row r="125" spans="1:33" s="27" customFormat="1">
      <c r="A125" s="25"/>
      <c r="B125" s="24">
        <f t="shared" si="3"/>
        <v>114</v>
      </c>
      <c r="C125" s="15"/>
      <c r="D125" s="72"/>
      <c r="E125" s="73"/>
      <c r="F125" s="73"/>
      <c r="G125" s="73"/>
      <c r="H125" s="73"/>
      <c r="I125" s="73"/>
      <c r="J125" s="73"/>
      <c r="K125" s="74"/>
      <c r="L125" s="73"/>
      <c r="M125" s="73"/>
      <c r="N125" s="73"/>
      <c r="O125" s="26"/>
      <c r="P125" s="73"/>
      <c r="Q125" s="73"/>
      <c r="R125" s="73"/>
      <c r="S125" s="72"/>
      <c r="T125" s="73"/>
      <c r="U125" s="73"/>
      <c r="V125" s="73"/>
      <c r="W125" s="26"/>
      <c r="X125" s="26"/>
      <c r="Y125" s="26"/>
      <c r="Z125" s="75"/>
      <c r="AA125" s="76"/>
      <c r="AB125" s="77"/>
      <c r="AC125" s="77"/>
      <c r="AD125" s="23"/>
      <c r="AE125" s="23"/>
      <c r="AF125" s="4"/>
      <c r="AG125" s="4"/>
    </row>
    <row r="126" spans="1:33" ht="12.6" thickBot="1">
      <c r="A126" s="78"/>
      <c r="B126" s="79">
        <f t="shared" si="3"/>
        <v>115</v>
      </c>
      <c r="C126" s="80"/>
      <c r="D126" s="81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3"/>
      <c r="V126" s="83"/>
      <c r="W126" s="79"/>
      <c r="X126" s="82"/>
      <c r="Y126" s="84"/>
      <c r="Z126" s="84"/>
      <c r="AA126" s="85"/>
      <c r="AB126" s="86"/>
      <c r="AC126" s="86"/>
      <c r="AD126" s="23"/>
      <c r="AE126" s="23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11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11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11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11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11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11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1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1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11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11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11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11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8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8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8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9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9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30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31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31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  <c r="P192" s="3"/>
      <c r="Q192" s="3"/>
      <c r="R192" s="3"/>
      <c r="S192" s="88"/>
      <c r="T192" s="3"/>
      <c r="U192" s="3"/>
      <c r="V192" s="3"/>
      <c r="W192" s="6"/>
      <c r="X192" s="6"/>
      <c r="Y192" s="6"/>
      <c r="Z192" s="6"/>
    </row>
    <row r="193" spans="1:26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  <c r="P193" s="3"/>
      <c r="Q193" s="3"/>
      <c r="R193" s="3"/>
      <c r="S193" s="88"/>
      <c r="T193" s="3"/>
      <c r="U193" s="3"/>
      <c r="V193" s="3"/>
      <c r="W193" s="6"/>
      <c r="X193" s="6"/>
      <c r="Y193" s="6"/>
      <c r="Z193" s="6"/>
    </row>
    <row r="194" spans="1:26">
      <c r="A194" s="3"/>
      <c r="B194" s="3"/>
      <c r="C194" s="2"/>
      <c r="D194" s="88"/>
      <c r="E194" s="3"/>
      <c r="F194" s="3"/>
      <c r="G194" s="3"/>
      <c r="H194" s="3"/>
      <c r="I194" s="3"/>
      <c r="J194" s="3"/>
      <c r="K194" s="2"/>
      <c r="L194" s="3"/>
      <c r="M194" s="3"/>
      <c r="N194" s="3"/>
      <c r="O194" s="6"/>
      <c r="P194" s="3"/>
      <c r="Q194" s="3"/>
      <c r="R194" s="3"/>
      <c r="S194" s="88"/>
      <c r="T194" s="3"/>
      <c r="U194" s="3"/>
      <c r="V194" s="3"/>
      <c r="W194" s="6"/>
      <c r="X194" s="6"/>
      <c r="Y194" s="6"/>
      <c r="Z194" s="6"/>
    </row>
    <row r="195" spans="1:26">
      <c r="A195" s="3"/>
      <c r="B195" s="3"/>
      <c r="C195" s="2"/>
      <c r="D195" s="88"/>
      <c r="E195" s="3"/>
      <c r="F195" s="3"/>
      <c r="G195" s="3"/>
      <c r="H195" s="3"/>
      <c r="I195" s="3"/>
      <c r="J195" s="3"/>
      <c r="K195" s="2"/>
      <c r="L195" s="3"/>
      <c r="M195" s="3"/>
      <c r="N195" s="3"/>
      <c r="O195" s="6"/>
      <c r="P195" s="3"/>
      <c r="Q195" s="3"/>
      <c r="R195" s="3"/>
      <c r="S195" s="88"/>
      <c r="T195" s="3"/>
      <c r="U195" s="3"/>
      <c r="V195" s="3"/>
      <c r="W195" s="6"/>
      <c r="X195" s="6"/>
      <c r="Y195" s="6"/>
      <c r="Z195" s="6"/>
    </row>
    <row r="196" spans="1:26">
      <c r="A196" s="3"/>
      <c r="B196" s="3"/>
      <c r="C196" s="2"/>
      <c r="D196" s="88"/>
      <c r="E196" s="3"/>
      <c r="F196" s="3"/>
      <c r="G196" s="3"/>
      <c r="H196" s="3"/>
      <c r="I196" s="3"/>
      <c r="J196" s="3"/>
      <c r="K196" s="2"/>
      <c r="L196" s="3"/>
      <c r="M196" s="3"/>
      <c r="N196" s="3"/>
      <c r="O196" s="6"/>
      <c r="P196" s="3"/>
      <c r="Q196" s="3"/>
      <c r="R196" s="3"/>
      <c r="S196" s="88"/>
      <c r="T196" s="3"/>
      <c r="U196" s="3"/>
      <c r="V196" s="3"/>
      <c r="W196" s="6"/>
      <c r="X196" s="6"/>
      <c r="Y196" s="6"/>
      <c r="Z196" s="6"/>
    </row>
    <row r="197" spans="1:26">
      <c r="A197" s="3"/>
      <c r="B197" s="3"/>
      <c r="C197" s="2"/>
      <c r="D197" s="88"/>
      <c r="E197" s="3"/>
      <c r="F197" s="3"/>
      <c r="G197" s="3"/>
      <c r="H197" s="3"/>
      <c r="I197" s="3"/>
      <c r="J197" s="3"/>
      <c r="K197" s="2"/>
      <c r="L197" s="3"/>
      <c r="M197" s="3"/>
      <c r="N197" s="3"/>
      <c r="O197" s="6"/>
      <c r="P197" s="3"/>
      <c r="Q197" s="3"/>
      <c r="R197" s="3"/>
      <c r="S197" s="88"/>
      <c r="T197" s="3"/>
      <c r="U197" s="3"/>
      <c r="V197" s="3"/>
      <c r="W197" s="6"/>
      <c r="X197" s="6"/>
      <c r="Y197" s="6"/>
      <c r="Z197" s="6"/>
    </row>
    <row r="198" spans="1:26">
      <c r="A198" s="3"/>
      <c r="B198" s="3"/>
      <c r="C198" s="2"/>
      <c r="D198" s="88"/>
      <c r="E198" s="3"/>
      <c r="F198" s="3"/>
      <c r="G198" s="3"/>
      <c r="H198" s="3"/>
      <c r="I198" s="3"/>
      <c r="J198" s="3"/>
      <c r="K198" s="2"/>
      <c r="L198" s="3"/>
      <c r="M198" s="3"/>
      <c r="N198" s="3"/>
      <c r="O198" s="6"/>
      <c r="P198" s="3"/>
      <c r="Q198" s="3"/>
      <c r="R198" s="3"/>
      <c r="S198" s="88"/>
      <c r="T198" s="3"/>
      <c r="U198" s="3"/>
      <c r="V198" s="3"/>
      <c r="W198" s="6"/>
      <c r="X198" s="6"/>
      <c r="Y198" s="6"/>
      <c r="Z198" s="6"/>
    </row>
    <row r="199" spans="1:26">
      <c r="A199" s="3"/>
      <c r="B199" s="3"/>
      <c r="C199" s="2"/>
      <c r="D199" s="88"/>
      <c r="E199" s="3"/>
      <c r="F199" s="3"/>
      <c r="G199" s="3"/>
      <c r="H199" s="3"/>
      <c r="I199" s="3"/>
      <c r="J199" s="3"/>
      <c r="K199" s="2"/>
      <c r="L199" s="3"/>
      <c r="M199" s="3"/>
      <c r="N199" s="3"/>
      <c r="O199" s="6"/>
      <c r="P199" s="3"/>
      <c r="Q199" s="3"/>
      <c r="R199" s="3"/>
      <c r="S199" s="88"/>
      <c r="T199" s="3"/>
      <c r="U199" s="3"/>
      <c r="V199" s="3"/>
      <c r="W199" s="6"/>
      <c r="X199" s="6"/>
      <c r="Y199" s="6"/>
      <c r="Z199" s="6"/>
    </row>
    <row r="200" spans="1:26">
      <c r="A200" s="3"/>
      <c r="B200" s="3"/>
      <c r="C200" s="2"/>
      <c r="D200" s="88"/>
      <c r="E200" s="3"/>
      <c r="F200" s="3"/>
      <c r="G200" s="3"/>
      <c r="H200" s="3"/>
      <c r="I200" s="3"/>
      <c r="J200" s="3"/>
      <c r="K200" s="2"/>
      <c r="L200" s="3"/>
      <c r="M200" s="3"/>
      <c r="N200" s="3"/>
      <c r="O200" s="6"/>
      <c r="P200" s="3"/>
      <c r="Q200" s="3"/>
      <c r="R200" s="3"/>
      <c r="S200" s="88"/>
      <c r="T200" s="3"/>
      <c r="U200" s="3"/>
      <c r="V200" s="3"/>
      <c r="W200" s="6"/>
      <c r="X200" s="6"/>
      <c r="Y200" s="6"/>
      <c r="Z200" s="6"/>
    </row>
    <row r="201" spans="1:26">
      <c r="A201" s="3"/>
      <c r="B201" s="3"/>
      <c r="C201" s="2"/>
      <c r="D201" s="88"/>
      <c r="E201" s="3"/>
      <c r="F201" s="3"/>
      <c r="G201" s="3"/>
      <c r="H201" s="3"/>
      <c r="I201" s="3"/>
      <c r="J201" s="3"/>
      <c r="K201" s="2"/>
      <c r="L201" s="3"/>
      <c r="M201" s="3"/>
      <c r="N201" s="3"/>
      <c r="O201" s="6"/>
      <c r="P201" s="3"/>
      <c r="Q201" s="3"/>
      <c r="R201" s="3"/>
      <c r="S201" s="88"/>
      <c r="T201" s="3"/>
      <c r="U201" s="3"/>
      <c r="V201" s="3"/>
      <c r="W201" s="6"/>
      <c r="X201" s="6"/>
      <c r="Y201" s="6"/>
      <c r="Z201" s="6"/>
    </row>
    <row r="202" spans="1:26">
      <c r="A202" s="3"/>
      <c r="B202" s="3"/>
      <c r="C202" s="2"/>
      <c r="D202" s="88"/>
      <c r="E202" s="3"/>
      <c r="F202" s="3"/>
      <c r="G202" s="3"/>
      <c r="H202" s="3"/>
      <c r="I202" s="3"/>
      <c r="J202" s="3"/>
      <c r="K202" s="2"/>
      <c r="L202" s="3"/>
      <c r="M202" s="3"/>
      <c r="N202" s="3"/>
      <c r="O202" s="6"/>
      <c r="P202" s="3"/>
      <c r="Q202" s="3"/>
      <c r="R202" s="3"/>
      <c r="S202" s="88"/>
      <c r="T202" s="3"/>
      <c r="U202" s="3"/>
      <c r="V202" s="3"/>
      <c r="W202" s="6"/>
      <c r="X202" s="6"/>
      <c r="Y202" s="6"/>
      <c r="Z202" s="6"/>
    </row>
    <row r="203" spans="1:26">
      <c r="A203" s="3"/>
      <c r="B203" s="3"/>
      <c r="C203" s="2"/>
      <c r="D203" s="88"/>
      <c r="E203" s="3"/>
      <c r="F203" s="3"/>
      <c r="G203" s="3"/>
      <c r="H203" s="3"/>
      <c r="I203" s="3"/>
      <c r="J203" s="3"/>
      <c r="K203" s="2"/>
      <c r="L203" s="3"/>
      <c r="M203" s="3"/>
      <c r="N203" s="3"/>
      <c r="O203" s="6"/>
      <c r="P203" s="3"/>
      <c r="Q203" s="3"/>
      <c r="R203" s="3"/>
      <c r="S203" s="88"/>
      <c r="T203" s="3"/>
      <c r="U203" s="3"/>
      <c r="V203" s="3"/>
      <c r="W203" s="6"/>
      <c r="X203" s="6"/>
      <c r="Y203" s="6"/>
      <c r="Z203" s="6"/>
    </row>
    <row r="204" spans="1:26">
      <c r="A204" s="3"/>
      <c r="B204" s="3"/>
      <c r="C204" s="2"/>
      <c r="D204" s="88"/>
      <c r="E204" s="3"/>
      <c r="F204" s="3"/>
      <c r="G204" s="3"/>
      <c r="H204" s="3"/>
      <c r="I204" s="3"/>
      <c r="J204" s="3"/>
      <c r="K204" s="2"/>
      <c r="L204" s="3"/>
      <c r="M204" s="3"/>
      <c r="N204" s="3"/>
      <c r="O204" s="6"/>
    </row>
    <row r="205" spans="1:26">
      <c r="A205" s="3"/>
      <c r="B205" s="3"/>
      <c r="C205" s="2"/>
      <c r="D205" s="88"/>
      <c r="E205" s="3"/>
      <c r="F205" s="3"/>
      <c r="G205" s="3"/>
      <c r="H205" s="3"/>
      <c r="I205" s="3"/>
      <c r="J205" s="3"/>
      <c r="K205" s="2"/>
      <c r="L205" s="3"/>
      <c r="M205" s="3"/>
      <c r="N205" s="3"/>
      <c r="O205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84:AC126">
    <cfRule type="expression" dxfId="563" priority="116">
      <formula>NOT(ISBLANK(INDIRECT("RC28",FALSE)))</formula>
    </cfRule>
  </conditionalFormatting>
  <conditionalFormatting sqref="C84:AC126">
    <cfRule type="expression" dxfId="562" priority="115" stopIfTrue="1">
      <formula>AND(ISBLANK(INDIRECT("RC2",FALSE)),NOT(ISBLANK(INDIRECT("RC3",FALSE))))</formula>
    </cfRule>
  </conditionalFormatting>
  <conditionalFormatting sqref="Z37">
    <cfRule type="expression" dxfId="561" priority="47">
      <formula>NOT(ISBLANK(INDIRECT("RC28",FALSE)))</formula>
    </cfRule>
  </conditionalFormatting>
  <conditionalFormatting sqref="Z37">
    <cfRule type="expression" dxfId="560" priority="48" stopIfTrue="1">
      <formula>AND(ISBLANK(INDIRECT("RC2",FALSE)),NOT(ISBLANK(INDIRECT("RC3",FALSE))))</formula>
    </cfRule>
  </conditionalFormatting>
  <conditionalFormatting sqref="B40 AB40:AC40">
    <cfRule type="expression" dxfId="559" priority="35">
      <formula>NOT(ISBLANK(INDIRECT("RC28",FALSE)))</formula>
    </cfRule>
  </conditionalFormatting>
  <conditionalFormatting sqref="AB40:AC40">
    <cfRule type="expression" dxfId="558" priority="36" stopIfTrue="1">
      <formula>AND(ISBLANK(INDIRECT("RC2",FALSE)),NOT(ISBLANK(INDIRECT("RC3",FALSE))))</formula>
    </cfRule>
  </conditionalFormatting>
  <conditionalFormatting sqref="B44 AB44:AC44">
    <cfRule type="expression" dxfId="557" priority="41">
      <formula>NOT(ISBLANK(INDIRECT("RC28",FALSE)))</formula>
    </cfRule>
  </conditionalFormatting>
  <conditionalFormatting sqref="AB44:AC44">
    <cfRule type="expression" dxfId="556" priority="42" stopIfTrue="1">
      <formula>AND(ISBLANK(INDIRECT("RC2",FALSE)),NOT(ISBLANK(INDIRECT("RC3",FALSE))))</formula>
    </cfRule>
  </conditionalFormatting>
  <conditionalFormatting sqref="B13:AC13 B19:AC19 B12 B14:B18 B20:B26 AB12:AC12 AB14:AC18 AB20:AC26 B37:Y37 AA37:AC37 B28:D35 B38:AC39 F28:AC35 B79:AA84 B50:AC83">
    <cfRule type="expression" dxfId="555" priority="1">
      <formula>NOT(ISBLANK(INDIRECT("RC28",FALSE)))</formula>
    </cfRule>
  </conditionalFormatting>
  <conditionalFormatting sqref="C13:AC13 C19:AC19 AB12:AC12 AB14:AC18 AB20:AC26 C37:Y37 AA37:AC37 C28:D35 C38:AC39 F28:AC35 C79:AA84 C50:AC83">
    <cfRule type="expression" dxfId="554" priority="2" stopIfTrue="1">
      <formula>AND(ISBLANK(INDIRECT("RC2",FALSE)),NOT(ISBLANK(INDIRECT("RC3",FALSE))))</formula>
    </cfRule>
  </conditionalFormatting>
  <conditionalFormatting sqref="C23:D26 F23:AA26">
    <cfRule type="expression" dxfId="553" priority="3">
      <formula>NOT(ISBLANK(INDIRECT("RC28",FALSE)))</formula>
    </cfRule>
  </conditionalFormatting>
  <conditionalFormatting sqref="C23:D26 F23:AA26">
    <cfRule type="expression" dxfId="552" priority="4" stopIfTrue="1">
      <formula>AND(ISBLANK(INDIRECT("RC2",FALSE)),NOT(ISBLANK(INDIRECT("RC3",FALSE))))</formula>
    </cfRule>
  </conditionalFormatting>
  <conditionalFormatting sqref="B27 AB27:AC27">
    <cfRule type="expression" dxfId="551" priority="5">
      <formula>NOT(ISBLANK(INDIRECT("RC28",FALSE)))</formula>
    </cfRule>
  </conditionalFormatting>
  <conditionalFormatting sqref="AB27:AC27">
    <cfRule type="expression" dxfId="550" priority="6" stopIfTrue="1">
      <formula>AND(ISBLANK(INDIRECT("RC2",FALSE)),NOT(ISBLANK(INDIRECT("RC3",FALSE))))</formula>
    </cfRule>
  </conditionalFormatting>
  <conditionalFormatting sqref="C27:AA27 E28:E35 E20:E26">
    <cfRule type="expression" dxfId="549" priority="7">
      <formula>NOT(ISBLANK(INDIRECT("RC28",FALSE)))</formula>
    </cfRule>
  </conditionalFormatting>
  <conditionalFormatting sqref="C27:AA27 E28:E35 E20:E26">
    <cfRule type="expression" dxfId="548" priority="8" stopIfTrue="1">
      <formula>AND(ISBLANK(INDIRECT("RC2",FALSE)),NOT(ISBLANK(INDIRECT("RC3",FALSE))))</formula>
    </cfRule>
  </conditionalFormatting>
  <conditionalFormatting sqref="C53:AA53 E14:AA14 C12:AA13 C15:AA19 C20:D22 F20:AA22">
    <cfRule type="expression" dxfId="547" priority="9">
      <formula>NOT(ISBLANK(INDIRECT("RC28",FALSE)))</formula>
    </cfRule>
  </conditionalFormatting>
  <conditionalFormatting sqref="C53:AA53 E14:AA14 C12:AA13 C15:AA19 C20:D22 F20:AA22">
    <cfRule type="expression" dxfId="546" priority="10" stopIfTrue="1">
      <formula>AND(ISBLANK(INDIRECT("RC2",FALSE)),NOT(ISBLANK(INDIRECT("RC3",FALSE))))</formula>
    </cfRule>
  </conditionalFormatting>
  <conditionalFormatting sqref="C14:D14">
    <cfRule type="expression" dxfId="545" priority="11" stopIfTrue="1">
      <formula>AND(ISBLANK(INDIRECT("RC2",FALSE)),NOT(ISBLANK(INDIRECT("RC3",FALSE))))</formula>
    </cfRule>
  </conditionalFormatting>
  <conditionalFormatting sqref="C14:D14">
    <cfRule type="expression" dxfId="544" priority="12">
      <formula>NOT(ISBLANK(INDIRECT("RC28",FALSE)))</formula>
    </cfRule>
  </conditionalFormatting>
  <conditionalFormatting sqref="C21:D21 V53 F20:AA21">
    <cfRule type="expression" dxfId="543" priority="13">
      <formula>NOT(ISBLANK(INDIRECT("RC28",FALSE)))</formula>
    </cfRule>
  </conditionalFormatting>
  <conditionalFormatting sqref="C21:D21 V53 F20:AA21">
    <cfRule type="expression" dxfId="542" priority="14" stopIfTrue="1">
      <formula>AND(ISBLANK(INDIRECT("RC2",FALSE)),NOT(ISBLANK(INDIRECT("RC3",FALSE))))</formula>
    </cfRule>
  </conditionalFormatting>
  <conditionalFormatting sqref="C20:D20">
    <cfRule type="expression" dxfId="541" priority="15" stopIfTrue="1">
      <formula>AND(ISBLANK(INDIRECT("RC2",FALSE)),NOT(ISBLANK(INDIRECT("RC3",FALSE))))</formula>
    </cfRule>
  </conditionalFormatting>
  <conditionalFormatting sqref="C20:D20">
    <cfRule type="expression" dxfId="540" priority="16">
      <formula>NOT(ISBLANK(INDIRECT("RC28",FALSE)))</formula>
    </cfRule>
  </conditionalFormatting>
  <conditionalFormatting sqref="C21:D21">
    <cfRule type="expression" dxfId="539" priority="17" stopIfTrue="1">
      <formula>AND(ISBLANK(INDIRECT("RC2",FALSE)),NOT(ISBLANK(INDIRECT("RC3",FALSE))))</formula>
    </cfRule>
  </conditionalFormatting>
  <conditionalFormatting sqref="C21:D21">
    <cfRule type="expression" dxfId="538" priority="18">
      <formula>NOT(ISBLANK(INDIRECT("RC28",FALSE)))</formula>
    </cfRule>
  </conditionalFormatting>
  <conditionalFormatting sqref="V16:V17 C53:U53 W53:AA53 E18:AA19">
    <cfRule type="expression" dxfId="537" priority="19">
      <formula>NOT(ISBLANK(INDIRECT("RC28",FALSE)))</formula>
    </cfRule>
  </conditionalFormatting>
  <conditionalFormatting sqref="C53:AA53 V16:V17 V20 E18:AA19">
    <cfRule type="expression" dxfId="536" priority="20" stopIfTrue="1">
      <formula>AND(ISBLANK(INDIRECT("RC2",FALSE)),NOT(ISBLANK(INDIRECT("RC3",FALSE))))</formula>
    </cfRule>
  </conditionalFormatting>
  <conditionalFormatting sqref="C18:D19">
    <cfRule type="expression" dxfId="535" priority="21" stopIfTrue="1">
      <formula>AND(ISBLANK(INDIRECT("RC2",FALSE)),NOT(ISBLANK(INDIRECT("RC3",FALSE))))</formula>
    </cfRule>
  </conditionalFormatting>
  <conditionalFormatting sqref="C18:D19">
    <cfRule type="expression" dxfId="534" priority="22">
      <formula>NOT(ISBLANK(INDIRECT("RC28",FALSE)))</formula>
    </cfRule>
  </conditionalFormatting>
  <conditionalFormatting sqref="C53:D53">
    <cfRule type="expression" dxfId="533" priority="23" stopIfTrue="1">
      <formula>AND(ISBLANK(INDIRECT("RC2",FALSE)),NOT(ISBLANK(INDIRECT("RC3",FALSE))))</formula>
    </cfRule>
  </conditionalFormatting>
  <conditionalFormatting sqref="C53:D53">
    <cfRule type="expression" dxfId="532" priority="24">
      <formula>NOT(ISBLANK(INDIRECT("RC28",FALSE)))</formula>
    </cfRule>
  </conditionalFormatting>
  <conditionalFormatting sqref="AA14">
    <cfRule type="expression" dxfId="531" priority="25">
      <formula>NOT(ISBLANK(INDIRECT("RC28",FALSE)))</formula>
    </cfRule>
  </conditionalFormatting>
  <conditionalFormatting sqref="AA14">
    <cfRule type="expression" dxfId="530" priority="26" stopIfTrue="1">
      <formula>AND(ISBLANK(INDIRECT("RC2",FALSE)),NOT(ISBLANK(INDIRECT("RC3",FALSE))))</formula>
    </cfRule>
  </conditionalFormatting>
  <conditionalFormatting sqref="AA13">
    <cfRule type="expression" dxfId="529" priority="27" stopIfTrue="1">
      <formula>AND(ISBLANK(INDIRECT("RC2",FALSE)),NOT(ISBLANK(INDIRECT("RC3",FALSE))))</formula>
    </cfRule>
  </conditionalFormatting>
  <conditionalFormatting sqref="AA13">
    <cfRule type="expression" dxfId="528" priority="28">
      <formula>NOT(ISBLANK(INDIRECT("RC28",FALSE)))</formula>
    </cfRule>
  </conditionalFormatting>
  <conditionalFormatting sqref="B36 AB36:AC36">
    <cfRule type="expression" dxfId="527" priority="29">
      <formula>NOT(ISBLANK(INDIRECT("RC28",FALSE)))</formula>
    </cfRule>
  </conditionalFormatting>
  <conditionalFormatting sqref="AB36:AC36">
    <cfRule type="expression" dxfId="526" priority="30" stopIfTrue="1">
      <formula>AND(ISBLANK(INDIRECT("RC2",FALSE)),NOT(ISBLANK(INDIRECT("RC3",FALSE))))</formula>
    </cfRule>
  </conditionalFormatting>
  <conditionalFormatting sqref="C36:AA36">
    <cfRule type="expression" dxfId="525" priority="31">
      <formula>NOT(ISBLANK(INDIRECT("RC28",FALSE)))</formula>
    </cfRule>
  </conditionalFormatting>
  <conditionalFormatting sqref="C36:AA36">
    <cfRule type="expression" dxfId="524" priority="32" stopIfTrue="1">
      <formula>AND(ISBLANK(INDIRECT("RC2",FALSE)),NOT(ISBLANK(INDIRECT("RC3",FALSE))))</formula>
    </cfRule>
  </conditionalFormatting>
  <conditionalFormatting sqref="B42:AC42 B41:Y41 AA41:AC41 B43:Y43 AA43:AC43">
    <cfRule type="expression" dxfId="523" priority="33">
      <formula>NOT(ISBLANK(INDIRECT("RC28",FALSE)))</formula>
    </cfRule>
  </conditionalFormatting>
  <conditionalFormatting sqref="C42:AC42 C41:Y41 AA41:AC41 C43:Y43 AA43:AC43">
    <cfRule type="expression" dxfId="522" priority="34" stopIfTrue="1">
      <formula>AND(ISBLANK(INDIRECT("RC2",FALSE)),NOT(ISBLANK(INDIRECT("RC3",FALSE))))</formula>
    </cfRule>
  </conditionalFormatting>
  <conditionalFormatting sqref="C40:AA40">
    <cfRule type="expression" dxfId="521" priority="37">
      <formula>NOT(ISBLANK(INDIRECT("RC28",FALSE)))</formula>
    </cfRule>
  </conditionalFormatting>
  <conditionalFormatting sqref="C40:AA40">
    <cfRule type="expression" dxfId="520" priority="38" stopIfTrue="1">
      <formula>AND(ISBLANK(INDIRECT("RC2",FALSE)),NOT(ISBLANK(INDIRECT("RC3",FALSE))))</formula>
    </cfRule>
  </conditionalFormatting>
  <conditionalFormatting sqref="B46:AC46 B45:Y45 AA45:AC45 B47:Y47 AA47:AC47">
    <cfRule type="expression" dxfId="519" priority="39">
      <formula>NOT(ISBLANK(INDIRECT("RC28",FALSE)))</formula>
    </cfRule>
  </conditionalFormatting>
  <conditionalFormatting sqref="C46:AC46 C45:Y45 AA45:AC45 C47:Y47 AA47:AC47">
    <cfRule type="expression" dxfId="518" priority="40" stopIfTrue="1">
      <formula>AND(ISBLANK(INDIRECT("RC2",FALSE)),NOT(ISBLANK(INDIRECT("RC3",FALSE))))</formula>
    </cfRule>
  </conditionalFormatting>
  <conditionalFormatting sqref="C44:AA44">
    <cfRule type="expression" dxfId="517" priority="43">
      <formula>NOT(ISBLANK(INDIRECT("RC28",FALSE)))</formula>
    </cfRule>
  </conditionalFormatting>
  <conditionalFormatting sqref="C44:AA44">
    <cfRule type="expression" dxfId="516" priority="44" stopIfTrue="1">
      <formula>AND(ISBLANK(INDIRECT("RC2",FALSE)),NOT(ISBLANK(INDIRECT("RC3",FALSE))))</formula>
    </cfRule>
  </conditionalFormatting>
  <conditionalFormatting sqref="B48:AC48">
    <cfRule type="expression" dxfId="515" priority="45">
      <formula>NOT(ISBLANK(INDIRECT("RC28",FALSE)))</formula>
    </cfRule>
  </conditionalFormatting>
  <conditionalFormatting sqref="C48:AC48">
    <cfRule type="expression" dxfId="514" priority="46" stopIfTrue="1">
      <formula>AND(ISBLANK(INDIRECT("RC2",FALSE)),NOT(ISBLANK(INDIRECT("RC3",FALSE))))</formula>
    </cfRule>
  </conditionalFormatting>
  <conditionalFormatting sqref="Z41">
    <cfRule type="expression" dxfId="513" priority="49">
      <formula>NOT(ISBLANK(INDIRECT("RC28",FALSE)))</formula>
    </cfRule>
  </conditionalFormatting>
  <conditionalFormatting sqref="Z41">
    <cfRule type="expression" dxfId="512" priority="50" stopIfTrue="1">
      <formula>AND(ISBLANK(INDIRECT("RC2",FALSE)),NOT(ISBLANK(INDIRECT("RC3",FALSE))))</formula>
    </cfRule>
  </conditionalFormatting>
  <conditionalFormatting sqref="Z45">
    <cfRule type="expression" dxfId="511" priority="51">
      <formula>NOT(ISBLANK(INDIRECT("RC28",FALSE)))</formula>
    </cfRule>
  </conditionalFormatting>
  <conditionalFormatting sqref="Z45">
    <cfRule type="expression" dxfId="510" priority="52" stopIfTrue="1">
      <formula>AND(ISBLANK(INDIRECT("RC2",FALSE)),NOT(ISBLANK(INDIRECT("RC3",FALSE))))</formula>
    </cfRule>
  </conditionalFormatting>
  <conditionalFormatting sqref="Z47">
    <cfRule type="expression" dxfId="509" priority="53">
      <formula>NOT(ISBLANK(INDIRECT("RC28",FALSE)))</formula>
    </cfRule>
  </conditionalFormatting>
  <conditionalFormatting sqref="Z47">
    <cfRule type="expression" dxfId="508" priority="54" stopIfTrue="1">
      <formula>AND(ISBLANK(INDIRECT("RC2",FALSE)),NOT(ISBLANK(INDIRECT("RC3",FALSE))))</formula>
    </cfRule>
  </conditionalFormatting>
  <conditionalFormatting sqref="Z43">
    <cfRule type="expression" dxfId="507" priority="55">
      <formula>NOT(ISBLANK(INDIRECT("RC28",FALSE)))</formula>
    </cfRule>
  </conditionalFormatting>
  <conditionalFormatting sqref="Z43">
    <cfRule type="expression" dxfId="506" priority="56" stopIfTrue="1">
      <formula>AND(ISBLANK(INDIRECT("RC2",FALSE)),NOT(ISBLANK(INDIRECT("RC3",FALSE))))</formula>
    </cfRule>
  </conditionalFormatting>
  <conditionalFormatting sqref="B49:AC49">
    <cfRule type="expression" dxfId="505" priority="57">
      <formula>NOT(ISBLANK(INDIRECT("RC28",FALSE)))</formula>
    </cfRule>
  </conditionalFormatting>
  <conditionalFormatting sqref="C49:AC49">
    <cfRule type="expression" dxfId="504" priority="58" stopIfTrue="1">
      <formula>AND(ISBLANK(INDIRECT("RC2",FALSE)),NOT(ISBLANK(INDIRECT("RC3",FALSE))))</formula>
    </cfRule>
  </conditionalFormatting>
  <dataValidations count="7">
    <dataValidation type="list" allowBlank="1" showErrorMessage="1" sqref="AB12:AB83 U12:U84" xr:uid="{766D0BE4-82C9-4951-AADD-395942C2AC8A}">
      <formula1>"○"</formula1>
    </dataValidation>
    <dataValidation type="list" allowBlank="1" showErrorMessage="1" sqref="V12:V84" xr:uid="{6744CED8-44E7-4C5A-BA39-674E34CB5CB5}">
      <formula1>"TEXT,VARCHAR,CHAR,NUMERIC,integer,boolean,bytea,DATE(時刻無),TIMESTAMP"</formula1>
    </dataValidation>
    <dataValidation type="list" allowBlank="1" showInputMessage="1" showErrorMessage="1" sqref="AC84:AC126" xr:uid="{00000000-0002-0000-0500-000002000000}">
      <formula1>"親,子"</formula1>
    </dataValidation>
    <dataValidation type="list" allowBlank="1" showInputMessage="1" showErrorMessage="1" sqref="V85:V126" xr:uid="{00000000-0002-0000-0500-000003000000}">
      <formula1>"TEXT,VARCHAR,CHAR,NUMERIC,integer,boolean,bytea,DATE(時刻無),TIMESTAMP"</formula1>
    </dataValidation>
    <dataValidation type="list" allowBlank="1" showInputMessage="1" showErrorMessage="1" sqref="F11:T11" xr:uid="{00000000-0002-0000-0500-000004000000}">
      <formula1>"IN,uIN,BR,uBR"</formula1>
    </dataValidation>
    <dataValidation type="list" allowBlank="1" showInputMessage="1" showErrorMessage="1" sqref="J5:T5 AB84:AB126 U85:U126" xr:uid="{00000000-0002-0000-0500-000005000000}">
      <formula1>"○"</formula1>
    </dataValidation>
    <dataValidation type="list" allowBlank="1" showErrorMessage="1" sqref="AC12:AC83" xr:uid="{F6DA5D74-B65D-4B3A-A46F-7372FE9682E0}">
      <formula1>"親,子"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84A8E-75E0-4992-956C-C8A86AD743A9}">
  <sheetPr codeName="Sheet29">
    <tabColor rgb="FFFFFF00"/>
    <pageSetUpPr fitToPage="1"/>
  </sheetPr>
  <dimension ref="A1:AG175"/>
  <sheetViews>
    <sheetView showGridLines="0" zoomScaleNormal="100" zoomScaleSheetLayoutView="100" workbookViewId="0">
      <selection activeCell="E12" sqref="E12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5" width="5.77734375" style="5" customWidth="1"/>
    <col min="26" max="26" width="9.21875" style="5" bestFit="1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482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479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181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20000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480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26" t="s">
        <v>519</v>
      </c>
      <c r="B12" s="227">
        <f t="shared" ref="B12:B14" si="0">ROW()-11</f>
        <v>1</v>
      </c>
      <c r="C12" s="207" t="s">
        <v>442</v>
      </c>
      <c r="D12" s="208" t="s">
        <v>443</v>
      </c>
      <c r="E12" s="208">
        <v>1</v>
      </c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9" t="s">
        <v>27</v>
      </c>
      <c r="V12" s="208" t="s">
        <v>28</v>
      </c>
      <c r="W12" s="208">
        <v>10</v>
      </c>
      <c r="X12" s="208"/>
      <c r="Y12" s="210"/>
      <c r="Z12" s="210">
        <v>10</v>
      </c>
      <c r="AA12" s="211" t="s">
        <v>443</v>
      </c>
      <c r="AB12" s="228"/>
      <c r="AC12" s="228"/>
      <c r="AD12" s="27"/>
      <c r="AE12" s="27"/>
      <c r="AG12" s="4"/>
    </row>
    <row r="13" spans="1:33" s="21" customFormat="1">
      <c r="A13" s="226" t="s">
        <v>519</v>
      </c>
      <c r="B13" s="227">
        <f t="shared" si="0"/>
        <v>2</v>
      </c>
      <c r="C13" s="229" t="s">
        <v>183</v>
      </c>
      <c r="D13" s="200" t="s">
        <v>184</v>
      </c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30" t="s">
        <v>27</v>
      </c>
      <c r="V13" s="231" t="s">
        <v>28</v>
      </c>
      <c r="W13" s="200">
        <v>10</v>
      </c>
      <c r="X13" s="200"/>
      <c r="Y13" s="232"/>
      <c r="Z13" s="232"/>
      <c r="AA13" s="217" t="s">
        <v>184</v>
      </c>
      <c r="AB13" s="233"/>
      <c r="AC13" s="233"/>
      <c r="AD13" s="23"/>
      <c r="AE13" s="23"/>
      <c r="AF13" s="4"/>
      <c r="AG13" s="4"/>
    </row>
    <row r="14" spans="1:33" s="21" customFormat="1">
      <c r="A14" s="184"/>
      <c r="B14" s="185">
        <f t="shared" si="0"/>
        <v>3</v>
      </c>
      <c r="C14" s="114" t="s">
        <v>82</v>
      </c>
      <c r="D14" s="115" t="s">
        <v>77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7"/>
      <c r="V14" s="116" t="s">
        <v>33</v>
      </c>
      <c r="W14" s="116">
        <v>256</v>
      </c>
      <c r="X14" s="116"/>
      <c r="Y14" s="118"/>
      <c r="Z14" s="118">
        <v>3</v>
      </c>
      <c r="AA14" s="119" t="s">
        <v>444</v>
      </c>
      <c r="AB14" s="186"/>
      <c r="AC14" s="186"/>
      <c r="AD14" s="42" t="s">
        <v>296</v>
      </c>
      <c r="AE14" s="33" t="s">
        <v>53</v>
      </c>
      <c r="AG14" s="4"/>
    </row>
    <row r="15" spans="1:33" s="21" customFormat="1">
      <c r="A15" s="184"/>
      <c r="B15" s="185">
        <f t="shared" ref="B15:B53" si="1">ROW()-11</f>
        <v>4</v>
      </c>
      <c r="C15" s="114" t="s">
        <v>189</v>
      </c>
      <c r="D15" s="115" t="s">
        <v>190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7"/>
      <c r="V15" s="116" t="s">
        <v>103</v>
      </c>
      <c r="W15" s="116"/>
      <c r="X15" s="116"/>
      <c r="Y15" s="118"/>
      <c r="Z15" s="118">
        <v>100</v>
      </c>
      <c r="AA15" s="119" t="s">
        <v>190</v>
      </c>
      <c r="AB15" s="186"/>
      <c r="AC15" s="186"/>
      <c r="AD15" s="23"/>
      <c r="AE15" s="33" t="s">
        <v>297</v>
      </c>
      <c r="AF15" s="4"/>
      <c r="AG15" s="4"/>
    </row>
    <row r="16" spans="1:33" s="21" customFormat="1">
      <c r="A16" s="184"/>
      <c r="B16" s="185">
        <f t="shared" si="1"/>
        <v>5</v>
      </c>
      <c r="C16" s="187" t="s">
        <v>447</v>
      </c>
      <c r="D16" s="115" t="s">
        <v>448</v>
      </c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24"/>
      <c r="V16" s="115" t="s">
        <v>103</v>
      </c>
      <c r="W16" s="115"/>
      <c r="X16" s="115"/>
      <c r="Y16" s="125"/>
      <c r="Z16" s="125">
        <v>1530</v>
      </c>
      <c r="AA16" s="119" t="s">
        <v>448</v>
      </c>
      <c r="AB16" s="186"/>
      <c r="AC16" s="186"/>
      <c r="AD16" s="23"/>
      <c r="AE16" s="23"/>
      <c r="AF16" s="4"/>
      <c r="AG16" s="4"/>
    </row>
    <row r="17" spans="1:33" s="21" customFormat="1">
      <c r="A17" s="184"/>
      <c r="B17" s="185">
        <f t="shared" si="1"/>
        <v>6</v>
      </c>
      <c r="C17" s="120" t="s">
        <v>500</v>
      </c>
      <c r="D17" s="116" t="s">
        <v>498</v>
      </c>
      <c r="E17" s="115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7"/>
      <c r="V17" s="116" t="s">
        <v>103</v>
      </c>
      <c r="W17" s="116"/>
      <c r="X17" s="116"/>
      <c r="Y17" s="118"/>
      <c r="Z17" s="118">
        <v>400</v>
      </c>
      <c r="AA17" s="119" t="s">
        <v>498</v>
      </c>
      <c r="AB17" s="186"/>
      <c r="AC17" s="186"/>
      <c r="AD17" s="32" t="s">
        <v>298</v>
      </c>
      <c r="AE17" s="33" t="s">
        <v>14</v>
      </c>
      <c r="AF17" s="4"/>
      <c r="AG17" s="4"/>
    </row>
    <row r="18" spans="1:33" s="21" customFormat="1">
      <c r="A18" s="184"/>
      <c r="B18" s="185">
        <f t="shared" si="1"/>
        <v>7</v>
      </c>
      <c r="C18" s="120" t="s">
        <v>501</v>
      </c>
      <c r="D18" s="116" t="s">
        <v>483</v>
      </c>
      <c r="E18" s="115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  <c r="V18" s="116" t="s">
        <v>103</v>
      </c>
      <c r="W18" s="116"/>
      <c r="X18" s="116"/>
      <c r="Y18" s="118"/>
      <c r="Z18" s="118">
        <v>1000</v>
      </c>
      <c r="AA18" s="119" t="s">
        <v>483</v>
      </c>
      <c r="AB18" s="186"/>
      <c r="AC18" s="186"/>
      <c r="AD18" s="42" t="s">
        <v>52</v>
      </c>
      <c r="AE18" s="33" t="s">
        <v>54</v>
      </c>
      <c r="AF18" s="4"/>
      <c r="AG18" s="4"/>
    </row>
    <row r="19" spans="1:33" s="21" customFormat="1">
      <c r="A19" s="184"/>
      <c r="B19" s="185">
        <f t="shared" si="1"/>
        <v>8</v>
      </c>
      <c r="C19" s="120" t="s">
        <v>502</v>
      </c>
      <c r="D19" s="116" t="s">
        <v>484</v>
      </c>
      <c r="E19" s="115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7"/>
      <c r="V19" s="116" t="s">
        <v>103</v>
      </c>
      <c r="W19" s="116"/>
      <c r="X19" s="116"/>
      <c r="Y19" s="118"/>
      <c r="Z19" s="118">
        <v>2000</v>
      </c>
      <c r="AA19" s="119" t="s">
        <v>484</v>
      </c>
      <c r="AB19" s="186"/>
      <c r="AC19" s="186"/>
      <c r="AD19" s="41" t="s">
        <v>50</v>
      </c>
      <c r="AE19" s="33" t="s">
        <v>51</v>
      </c>
      <c r="AF19" s="4"/>
      <c r="AG19" s="4"/>
    </row>
    <row r="20" spans="1:33" s="21" customFormat="1">
      <c r="A20" s="184"/>
      <c r="B20" s="185">
        <f t="shared" si="1"/>
        <v>9</v>
      </c>
      <c r="C20" s="114" t="s">
        <v>503</v>
      </c>
      <c r="D20" s="115" t="s">
        <v>485</v>
      </c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24"/>
      <c r="V20" s="115" t="s">
        <v>103</v>
      </c>
      <c r="W20" s="115"/>
      <c r="X20" s="115"/>
      <c r="Y20" s="125"/>
      <c r="Z20" s="125">
        <v>3000</v>
      </c>
      <c r="AA20" s="123" t="s">
        <v>485</v>
      </c>
      <c r="AB20" s="186"/>
      <c r="AC20" s="186"/>
      <c r="AD20" s="27"/>
      <c r="AE20" s="27"/>
      <c r="AF20" s="4"/>
      <c r="AG20" s="4"/>
    </row>
    <row r="21" spans="1:33" s="21" customFormat="1">
      <c r="A21" s="184"/>
      <c r="B21" s="185">
        <f t="shared" si="1"/>
        <v>10</v>
      </c>
      <c r="C21" s="114" t="s">
        <v>504</v>
      </c>
      <c r="D21" s="115" t="s">
        <v>486</v>
      </c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24"/>
      <c r="V21" s="115" t="s">
        <v>103</v>
      </c>
      <c r="W21" s="115"/>
      <c r="X21" s="115"/>
      <c r="Y21" s="125"/>
      <c r="Z21" s="125">
        <v>3000</v>
      </c>
      <c r="AA21" s="123" t="s">
        <v>486</v>
      </c>
      <c r="AB21" s="186"/>
      <c r="AC21" s="186"/>
      <c r="AD21" s="27"/>
      <c r="AE21" s="27"/>
      <c r="AF21" s="4"/>
      <c r="AG21" s="4"/>
    </row>
    <row r="22" spans="1:33" s="21" customFormat="1">
      <c r="A22" s="184"/>
      <c r="B22" s="185">
        <f t="shared" si="1"/>
        <v>11</v>
      </c>
      <c r="C22" s="114" t="s">
        <v>505</v>
      </c>
      <c r="D22" s="115" t="s">
        <v>487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24"/>
      <c r="V22" s="115" t="s">
        <v>103</v>
      </c>
      <c r="W22" s="115"/>
      <c r="X22" s="115"/>
      <c r="Y22" s="125"/>
      <c r="Z22" s="125">
        <v>2000</v>
      </c>
      <c r="AA22" s="123" t="s">
        <v>487</v>
      </c>
      <c r="AB22" s="186"/>
      <c r="AC22" s="186"/>
      <c r="AD22" s="27"/>
      <c r="AE22" s="27"/>
      <c r="AF22" s="4"/>
      <c r="AG22" s="4"/>
    </row>
    <row r="23" spans="1:33" s="21" customFormat="1">
      <c r="A23" s="184"/>
      <c r="B23" s="185">
        <f t="shared" si="1"/>
        <v>12</v>
      </c>
      <c r="C23" s="114" t="s">
        <v>506</v>
      </c>
      <c r="D23" s="115" t="s">
        <v>488</v>
      </c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24"/>
      <c r="V23" s="115" t="s">
        <v>103</v>
      </c>
      <c r="W23" s="115"/>
      <c r="X23" s="115"/>
      <c r="Y23" s="125"/>
      <c r="Z23" s="125">
        <v>5000</v>
      </c>
      <c r="AA23" s="123" t="s">
        <v>488</v>
      </c>
      <c r="AB23" s="186"/>
      <c r="AC23" s="186"/>
      <c r="AD23" s="23"/>
      <c r="AE23" s="23"/>
      <c r="AF23" s="4"/>
      <c r="AG23" s="4"/>
    </row>
    <row r="24" spans="1:33" s="21" customFormat="1">
      <c r="A24" s="184"/>
      <c r="B24" s="185">
        <f t="shared" si="1"/>
        <v>13</v>
      </c>
      <c r="C24" s="114" t="s">
        <v>507</v>
      </c>
      <c r="D24" s="115" t="s">
        <v>489</v>
      </c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24"/>
      <c r="V24" s="115" t="s">
        <v>103</v>
      </c>
      <c r="W24" s="115"/>
      <c r="X24" s="115"/>
      <c r="Y24" s="125"/>
      <c r="Z24" s="125">
        <v>1500</v>
      </c>
      <c r="AA24" s="123" t="s">
        <v>489</v>
      </c>
      <c r="AB24" s="186"/>
      <c r="AC24" s="186"/>
      <c r="AD24" s="23"/>
      <c r="AE24" s="23"/>
      <c r="AF24" s="4"/>
      <c r="AG24" s="4"/>
    </row>
    <row r="25" spans="1:33" s="21" customFormat="1">
      <c r="A25" s="184"/>
      <c r="B25" s="185">
        <f t="shared" si="1"/>
        <v>14</v>
      </c>
      <c r="C25" s="114" t="s">
        <v>508</v>
      </c>
      <c r="D25" s="115" t="s">
        <v>490</v>
      </c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24"/>
      <c r="V25" s="115" t="s">
        <v>103</v>
      </c>
      <c r="W25" s="115"/>
      <c r="X25" s="115"/>
      <c r="Y25" s="125"/>
      <c r="Z25" s="125">
        <v>3000</v>
      </c>
      <c r="AA25" s="123" t="s">
        <v>490</v>
      </c>
      <c r="AB25" s="186"/>
      <c r="AC25" s="186"/>
      <c r="AD25" s="23"/>
      <c r="AE25" s="23"/>
      <c r="AF25" s="4"/>
      <c r="AG25" s="4"/>
    </row>
    <row r="26" spans="1:33" s="21" customFormat="1">
      <c r="A26" s="184"/>
      <c r="B26" s="185">
        <f t="shared" si="1"/>
        <v>15</v>
      </c>
      <c r="C26" s="114" t="s">
        <v>509</v>
      </c>
      <c r="D26" s="115" t="s">
        <v>491</v>
      </c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24"/>
      <c r="V26" s="115" t="s">
        <v>103</v>
      </c>
      <c r="W26" s="115"/>
      <c r="X26" s="115"/>
      <c r="Y26" s="125"/>
      <c r="Z26" s="125">
        <v>1500</v>
      </c>
      <c r="AA26" s="123" t="s">
        <v>491</v>
      </c>
      <c r="AB26" s="186"/>
      <c r="AC26" s="186"/>
      <c r="AD26" s="23"/>
      <c r="AE26" s="23"/>
      <c r="AF26" s="4"/>
      <c r="AG26" s="4"/>
    </row>
    <row r="27" spans="1:33" s="21" customFormat="1">
      <c r="A27" s="184"/>
      <c r="B27" s="185">
        <f t="shared" si="1"/>
        <v>16</v>
      </c>
      <c r="C27" s="114" t="s">
        <v>510</v>
      </c>
      <c r="D27" s="115" t="s">
        <v>492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24"/>
      <c r="V27" s="115" t="s">
        <v>103</v>
      </c>
      <c r="W27" s="115"/>
      <c r="X27" s="115"/>
      <c r="Y27" s="125"/>
      <c r="Z27" s="125">
        <v>2500</v>
      </c>
      <c r="AA27" s="123" t="s">
        <v>492</v>
      </c>
      <c r="AB27" s="186"/>
      <c r="AC27" s="186"/>
      <c r="AD27" s="23"/>
      <c r="AE27" s="23"/>
      <c r="AF27" s="4"/>
      <c r="AG27" s="4"/>
    </row>
    <row r="28" spans="1:33" s="21" customFormat="1">
      <c r="A28" s="184"/>
      <c r="B28" s="185">
        <f t="shared" si="1"/>
        <v>17</v>
      </c>
      <c r="C28" s="114" t="s">
        <v>511</v>
      </c>
      <c r="D28" s="115" t="s">
        <v>493</v>
      </c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24"/>
      <c r="V28" s="115" t="s">
        <v>103</v>
      </c>
      <c r="W28" s="115"/>
      <c r="X28" s="115"/>
      <c r="Y28" s="125"/>
      <c r="Z28" s="125">
        <v>1500</v>
      </c>
      <c r="AA28" s="123" t="s">
        <v>493</v>
      </c>
      <c r="AB28" s="186"/>
      <c r="AC28" s="186"/>
      <c r="AD28" s="23"/>
      <c r="AE28" s="23"/>
      <c r="AF28" s="4"/>
      <c r="AG28" s="4"/>
    </row>
    <row r="29" spans="1:33" s="21" customFormat="1">
      <c r="A29" s="184"/>
      <c r="B29" s="185">
        <f t="shared" si="1"/>
        <v>18</v>
      </c>
      <c r="C29" s="114" t="s">
        <v>512</v>
      </c>
      <c r="D29" s="115" t="s">
        <v>494</v>
      </c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24"/>
      <c r="V29" s="115" t="s">
        <v>103</v>
      </c>
      <c r="W29" s="115"/>
      <c r="X29" s="115"/>
      <c r="Y29" s="125"/>
      <c r="Z29" s="125">
        <v>300</v>
      </c>
      <c r="AA29" s="123" t="s">
        <v>494</v>
      </c>
      <c r="AB29" s="186"/>
      <c r="AC29" s="186"/>
      <c r="AD29" s="23"/>
      <c r="AE29" s="23"/>
      <c r="AF29" s="4"/>
      <c r="AG29" s="4"/>
    </row>
    <row r="30" spans="1:33" s="21" customFormat="1">
      <c r="A30" s="184"/>
      <c r="B30" s="185">
        <f t="shared" si="1"/>
        <v>19</v>
      </c>
      <c r="C30" s="114" t="s">
        <v>513</v>
      </c>
      <c r="D30" s="115" t="s">
        <v>495</v>
      </c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24"/>
      <c r="V30" s="115" t="s">
        <v>103</v>
      </c>
      <c r="W30" s="115"/>
      <c r="X30" s="115"/>
      <c r="Y30" s="125"/>
      <c r="Z30" s="125">
        <v>7000</v>
      </c>
      <c r="AA30" s="123" t="s">
        <v>495</v>
      </c>
      <c r="AB30" s="186"/>
      <c r="AC30" s="186"/>
      <c r="AD30" s="23"/>
      <c r="AE30" s="23"/>
      <c r="AF30" s="4"/>
      <c r="AG30" s="4"/>
    </row>
    <row r="31" spans="1:33" s="21" customFormat="1">
      <c r="A31" s="184"/>
      <c r="B31" s="185">
        <f t="shared" si="1"/>
        <v>20</v>
      </c>
      <c r="C31" s="114" t="s">
        <v>514</v>
      </c>
      <c r="D31" s="115" t="s">
        <v>496</v>
      </c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24"/>
      <c r="V31" s="115" t="s">
        <v>103</v>
      </c>
      <c r="W31" s="115"/>
      <c r="X31" s="115"/>
      <c r="Y31" s="125"/>
      <c r="Z31" s="125">
        <v>11900</v>
      </c>
      <c r="AA31" s="123" t="s">
        <v>496</v>
      </c>
      <c r="AB31" s="186"/>
      <c r="AC31" s="186"/>
      <c r="AD31" s="23"/>
      <c r="AE31" s="23"/>
      <c r="AF31" s="4"/>
      <c r="AG31" s="4"/>
    </row>
    <row r="32" spans="1:33" s="21" customFormat="1">
      <c r="A32" s="184"/>
      <c r="B32" s="185">
        <f t="shared" si="1"/>
        <v>21</v>
      </c>
      <c r="C32" s="114" t="s">
        <v>499</v>
      </c>
      <c r="D32" s="115" t="s">
        <v>497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24"/>
      <c r="V32" s="115" t="s">
        <v>103</v>
      </c>
      <c r="W32" s="115"/>
      <c r="X32" s="115"/>
      <c r="Y32" s="125"/>
      <c r="Z32" s="125">
        <v>11900</v>
      </c>
      <c r="AA32" s="123" t="s">
        <v>497</v>
      </c>
      <c r="AB32" s="186"/>
      <c r="AC32" s="186"/>
      <c r="AD32" s="23"/>
      <c r="AE32" s="23"/>
      <c r="AF32" s="4"/>
      <c r="AG32" s="4"/>
    </row>
    <row r="33" spans="1:33" s="21" customFormat="1">
      <c r="A33" s="184"/>
      <c r="B33" s="185">
        <f t="shared" si="1"/>
        <v>22</v>
      </c>
      <c r="C33" s="114" t="s">
        <v>469</v>
      </c>
      <c r="D33" s="115" t="s">
        <v>470</v>
      </c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24"/>
      <c r="V33" s="115" t="s">
        <v>103</v>
      </c>
      <c r="W33" s="115"/>
      <c r="X33" s="115"/>
      <c r="Y33" s="125"/>
      <c r="Z33" s="125">
        <v>1000</v>
      </c>
      <c r="AA33" s="123" t="s">
        <v>470</v>
      </c>
      <c r="AB33" s="186"/>
      <c r="AC33" s="186"/>
      <c r="AD33" s="23"/>
      <c r="AE33" s="23"/>
      <c r="AF33" s="4"/>
      <c r="AG33" s="4"/>
    </row>
    <row r="34" spans="1:33" s="21" customFormat="1">
      <c r="A34" s="184"/>
      <c r="B34" s="185">
        <f t="shared" si="1"/>
        <v>23</v>
      </c>
      <c r="C34" s="114" t="s">
        <v>218</v>
      </c>
      <c r="D34" s="115" t="s">
        <v>219</v>
      </c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24"/>
      <c r="V34" s="115" t="s">
        <v>103</v>
      </c>
      <c r="W34" s="115"/>
      <c r="X34" s="115"/>
      <c r="Y34" s="125"/>
      <c r="Z34" s="125">
        <v>2000</v>
      </c>
      <c r="AA34" s="123" t="s">
        <v>219</v>
      </c>
      <c r="AB34" s="186"/>
      <c r="AC34" s="186"/>
      <c r="AD34" s="23"/>
      <c r="AE34" s="23"/>
      <c r="AF34" s="4"/>
      <c r="AG34" s="4"/>
    </row>
    <row r="35" spans="1:33" s="21" customFormat="1">
      <c r="A35" s="184"/>
      <c r="B35" s="185">
        <f t="shared" si="1"/>
        <v>24</v>
      </c>
      <c r="C35" s="114" t="s">
        <v>191</v>
      </c>
      <c r="D35" s="115" t="s">
        <v>192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7"/>
      <c r="V35" s="116" t="s">
        <v>103</v>
      </c>
      <c r="W35" s="116"/>
      <c r="X35" s="116"/>
      <c r="Y35" s="118"/>
      <c r="Z35" s="118">
        <v>600</v>
      </c>
      <c r="AA35" s="119" t="s">
        <v>192</v>
      </c>
      <c r="AB35" s="186"/>
      <c r="AC35" s="186"/>
      <c r="AD35" s="23"/>
      <c r="AE35" s="23"/>
      <c r="AF35" s="4"/>
      <c r="AG35" s="4"/>
    </row>
    <row r="36" spans="1:33" s="21" customFormat="1">
      <c r="A36" s="184"/>
      <c r="B36" s="185">
        <f t="shared" si="1"/>
        <v>25</v>
      </c>
      <c r="C36" s="114" t="s">
        <v>216</v>
      </c>
      <c r="D36" s="115" t="s">
        <v>217</v>
      </c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24"/>
      <c r="V36" s="115" t="s">
        <v>103</v>
      </c>
      <c r="W36" s="115"/>
      <c r="X36" s="115"/>
      <c r="Y36" s="125"/>
      <c r="Z36" s="125">
        <v>100</v>
      </c>
      <c r="AA36" s="123" t="s">
        <v>217</v>
      </c>
      <c r="AB36" s="186"/>
      <c r="AC36" s="186"/>
      <c r="AD36" s="23"/>
      <c r="AE36" s="23"/>
      <c r="AF36" s="4"/>
      <c r="AG36" s="4"/>
    </row>
    <row r="37" spans="1:33" s="21" customFormat="1">
      <c r="A37" s="184"/>
      <c r="B37" s="185">
        <f t="shared" si="1"/>
        <v>26</v>
      </c>
      <c r="C37" s="114" t="s">
        <v>155</v>
      </c>
      <c r="D37" s="115" t="s">
        <v>220</v>
      </c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24"/>
      <c r="V37" s="115" t="s">
        <v>103</v>
      </c>
      <c r="W37" s="115"/>
      <c r="X37" s="115"/>
      <c r="Y37" s="125"/>
      <c r="Z37" s="125">
        <v>7000</v>
      </c>
      <c r="AA37" s="123" t="s">
        <v>220</v>
      </c>
      <c r="AB37" s="186"/>
      <c r="AC37" s="186"/>
      <c r="AD37" s="23"/>
      <c r="AE37" s="23"/>
      <c r="AF37" s="4"/>
      <c r="AG37" s="4"/>
    </row>
    <row r="38" spans="1:33" s="21" customFormat="1">
      <c r="A38" s="184"/>
      <c r="B38" s="185">
        <f t="shared" si="1"/>
        <v>27</v>
      </c>
      <c r="C38" s="114" t="s">
        <v>221</v>
      </c>
      <c r="D38" s="115" t="s">
        <v>222</v>
      </c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24"/>
      <c r="V38" s="115" t="s">
        <v>103</v>
      </c>
      <c r="W38" s="115"/>
      <c r="X38" s="115"/>
      <c r="Y38" s="125"/>
      <c r="Z38" s="125">
        <v>20000</v>
      </c>
      <c r="AA38" s="123" t="s">
        <v>222</v>
      </c>
      <c r="AB38" s="186"/>
      <c r="AC38" s="186"/>
      <c r="AD38" s="23"/>
      <c r="AE38" s="23"/>
      <c r="AF38" s="4"/>
      <c r="AG38" s="4"/>
    </row>
    <row r="39" spans="1:33" s="21" customFormat="1">
      <c r="A39" s="184"/>
      <c r="B39" s="185">
        <f t="shared" si="1"/>
        <v>28</v>
      </c>
      <c r="C39" s="114" t="s">
        <v>157</v>
      </c>
      <c r="D39" s="115" t="s">
        <v>158</v>
      </c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24" t="s">
        <v>27</v>
      </c>
      <c r="V39" s="115" t="s">
        <v>103</v>
      </c>
      <c r="W39" s="199"/>
      <c r="X39" s="115"/>
      <c r="Y39" s="125"/>
      <c r="Z39" s="125">
        <v>1000</v>
      </c>
      <c r="AA39" s="123" t="s">
        <v>158</v>
      </c>
      <c r="AB39" s="186"/>
      <c r="AC39" s="186"/>
      <c r="AD39" s="23"/>
      <c r="AE39" s="23"/>
      <c r="AF39" s="4"/>
      <c r="AG39" s="4"/>
    </row>
    <row r="40" spans="1:33" s="21" customFormat="1">
      <c r="A40" s="184"/>
      <c r="B40" s="185">
        <f t="shared" si="1"/>
        <v>29</v>
      </c>
      <c r="C40" s="114" t="s">
        <v>223</v>
      </c>
      <c r="D40" s="115" t="s">
        <v>224</v>
      </c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24"/>
      <c r="V40" s="115" t="s">
        <v>103</v>
      </c>
      <c r="W40" s="115"/>
      <c r="X40" s="115"/>
      <c r="Y40" s="125"/>
      <c r="Z40" s="125">
        <v>1000</v>
      </c>
      <c r="AA40" s="123" t="s">
        <v>224</v>
      </c>
      <c r="AB40" s="186"/>
      <c r="AC40" s="186"/>
      <c r="AD40" s="23"/>
      <c r="AE40" s="23"/>
      <c r="AF40" s="4"/>
      <c r="AG40" s="4"/>
    </row>
    <row r="41" spans="1:33" s="21" customFormat="1">
      <c r="A41" s="184"/>
      <c r="B41" s="185">
        <f t="shared" si="1"/>
        <v>30</v>
      </c>
      <c r="C41" s="187" t="s">
        <v>237</v>
      </c>
      <c r="D41" s="115" t="s">
        <v>474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24"/>
      <c r="V41" s="115" t="s">
        <v>103</v>
      </c>
      <c r="W41" s="115"/>
      <c r="X41" s="115"/>
      <c r="Y41" s="125"/>
      <c r="Z41" s="125">
        <v>120000</v>
      </c>
      <c r="AA41" s="123" t="s">
        <v>474</v>
      </c>
      <c r="AB41" s="186"/>
      <c r="AC41" s="186"/>
      <c r="AD41" s="23"/>
      <c r="AE41" s="23"/>
      <c r="AF41" s="4"/>
      <c r="AG41" s="4"/>
    </row>
    <row r="42" spans="1:33" s="21" customFormat="1">
      <c r="A42" s="184"/>
      <c r="B42" s="185">
        <f t="shared" si="1"/>
        <v>31</v>
      </c>
      <c r="C42" s="187" t="s">
        <v>240</v>
      </c>
      <c r="D42" s="115" t="s">
        <v>241</v>
      </c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24"/>
      <c r="V42" s="115" t="s">
        <v>103</v>
      </c>
      <c r="W42" s="115"/>
      <c r="X42" s="115"/>
      <c r="Y42" s="125"/>
      <c r="Z42" s="125">
        <v>13000</v>
      </c>
      <c r="AA42" s="123" t="s">
        <v>241</v>
      </c>
      <c r="AB42" s="186"/>
      <c r="AC42" s="186"/>
      <c r="AD42" s="23"/>
      <c r="AE42" s="23"/>
      <c r="AF42" s="4"/>
      <c r="AG42" s="4"/>
    </row>
    <row r="43" spans="1:33" s="21" customFormat="1">
      <c r="A43" s="184"/>
      <c r="B43" s="185">
        <f t="shared" si="1"/>
        <v>32</v>
      </c>
      <c r="C43" s="115" t="s">
        <v>244</v>
      </c>
      <c r="D43" s="115" t="s">
        <v>245</v>
      </c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24"/>
      <c r="V43" s="127" t="s">
        <v>103</v>
      </c>
      <c r="W43" s="115"/>
      <c r="X43" s="115"/>
      <c r="Y43" s="125"/>
      <c r="Z43" s="125">
        <v>500</v>
      </c>
      <c r="AA43" s="123" t="s">
        <v>245</v>
      </c>
      <c r="AB43" s="186"/>
      <c r="AC43" s="186"/>
      <c r="AD43" s="23"/>
      <c r="AE43" s="23"/>
      <c r="AF43" s="4"/>
      <c r="AG43" s="4"/>
    </row>
    <row r="44" spans="1:33" s="21" customFormat="1">
      <c r="A44" s="184"/>
      <c r="B44" s="185">
        <f t="shared" si="1"/>
        <v>33</v>
      </c>
      <c r="C44" s="115" t="s">
        <v>246</v>
      </c>
      <c r="D44" s="115" t="s">
        <v>247</v>
      </c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24"/>
      <c r="V44" s="127" t="s">
        <v>103</v>
      </c>
      <c r="W44" s="115"/>
      <c r="X44" s="115"/>
      <c r="Y44" s="125"/>
      <c r="Z44" s="125">
        <v>3000</v>
      </c>
      <c r="AA44" s="123" t="s">
        <v>247</v>
      </c>
      <c r="AB44" s="186"/>
      <c r="AC44" s="186"/>
      <c r="AD44" s="23"/>
      <c r="AE44" s="23"/>
      <c r="AF44" s="4"/>
      <c r="AG44" s="4"/>
    </row>
    <row r="45" spans="1:33" s="21" customFormat="1">
      <c r="A45" s="184"/>
      <c r="B45" s="185">
        <f t="shared" si="1"/>
        <v>34</v>
      </c>
      <c r="C45" s="187" t="s">
        <v>252</v>
      </c>
      <c r="D45" s="115" t="s">
        <v>253</v>
      </c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24"/>
      <c r="V45" s="115" t="s">
        <v>103</v>
      </c>
      <c r="W45" s="115"/>
      <c r="X45" s="115"/>
      <c r="Y45" s="125"/>
      <c r="Z45" s="125">
        <v>47000</v>
      </c>
      <c r="AA45" s="123" t="s">
        <v>253</v>
      </c>
      <c r="AB45" s="186"/>
      <c r="AC45" s="186"/>
      <c r="AD45" s="23"/>
      <c r="AE45" s="23"/>
      <c r="AF45" s="4"/>
      <c r="AG45" s="4"/>
    </row>
    <row r="46" spans="1:33" s="21" customFormat="1">
      <c r="A46" s="201"/>
      <c r="B46" s="202">
        <f t="shared" si="1"/>
        <v>35</v>
      </c>
      <c r="C46" s="203" t="s">
        <v>475</v>
      </c>
      <c r="D46" s="171" t="s">
        <v>476</v>
      </c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3"/>
      <c r="V46" s="174" t="s">
        <v>33</v>
      </c>
      <c r="W46" s="171">
        <v>256</v>
      </c>
      <c r="X46" s="171"/>
      <c r="Y46" s="126"/>
      <c r="Z46" s="126">
        <v>50</v>
      </c>
      <c r="AA46" s="172" t="s">
        <v>476</v>
      </c>
      <c r="AB46" s="204"/>
      <c r="AC46" s="204"/>
      <c r="AD46" s="23"/>
      <c r="AE46" s="23"/>
      <c r="AF46" s="4"/>
      <c r="AG46" s="4"/>
    </row>
    <row r="47" spans="1:33" s="21" customFormat="1">
      <c r="A47" s="201"/>
      <c r="B47" s="202">
        <f t="shared" si="1"/>
        <v>36</v>
      </c>
      <c r="C47" s="203" t="s">
        <v>477</v>
      </c>
      <c r="D47" s="171" t="s">
        <v>478</v>
      </c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3"/>
      <c r="V47" s="171" t="s">
        <v>33</v>
      </c>
      <c r="W47" s="171">
        <v>256</v>
      </c>
      <c r="X47" s="171"/>
      <c r="Y47" s="126"/>
      <c r="Z47" s="126">
        <v>50</v>
      </c>
      <c r="AA47" s="172" t="s">
        <v>478</v>
      </c>
      <c r="AB47" s="204"/>
      <c r="AC47" s="204"/>
      <c r="AD47" s="23"/>
      <c r="AE47" s="23"/>
      <c r="AF47" s="4"/>
      <c r="AG47" s="4"/>
    </row>
    <row r="48" spans="1:33" s="21" customFormat="1">
      <c r="A48" s="184"/>
      <c r="B48" s="185">
        <f t="shared" si="1"/>
        <v>37</v>
      </c>
      <c r="C48" s="187" t="s">
        <v>515</v>
      </c>
      <c r="D48" s="115" t="s">
        <v>517</v>
      </c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24"/>
      <c r="V48" s="127" t="s">
        <v>103</v>
      </c>
      <c r="W48" s="115"/>
      <c r="X48" s="115"/>
      <c r="Y48" s="125"/>
      <c r="Z48" s="125">
        <v>100</v>
      </c>
      <c r="AA48" s="123" t="s">
        <v>517</v>
      </c>
      <c r="AB48" s="186"/>
      <c r="AC48" s="186"/>
      <c r="AD48" s="23"/>
      <c r="AE48" s="23"/>
      <c r="AF48" s="4"/>
      <c r="AG48" s="4"/>
    </row>
    <row r="49" spans="1:33" s="21" customFormat="1">
      <c r="A49" s="184"/>
      <c r="B49" s="185">
        <f t="shared" si="1"/>
        <v>38</v>
      </c>
      <c r="C49" s="187" t="s">
        <v>68</v>
      </c>
      <c r="D49" s="115" t="s">
        <v>87</v>
      </c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24" t="s">
        <v>27</v>
      </c>
      <c r="V49" s="127" t="s">
        <v>28</v>
      </c>
      <c r="W49" s="115">
        <v>1</v>
      </c>
      <c r="X49" s="115"/>
      <c r="Y49" s="125"/>
      <c r="Z49" s="125"/>
      <c r="AA49" s="123" t="s">
        <v>87</v>
      </c>
      <c r="AB49" s="186"/>
      <c r="AC49" s="186"/>
      <c r="AD49" s="23"/>
      <c r="AE49" s="23"/>
      <c r="AF49" s="4"/>
      <c r="AG49" s="4"/>
    </row>
    <row r="50" spans="1:33" s="21" customFormat="1">
      <c r="A50" s="184"/>
      <c r="B50" s="185">
        <f t="shared" si="1"/>
        <v>39</v>
      </c>
      <c r="C50" s="187" t="s">
        <v>69</v>
      </c>
      <c r="D50" s="115" t="s">
        <v>88</v>
      </c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24" t="s">
        <v>27</v>
      </c>
      <c r="V50" s="115" t="s">
        <v>29</v>
      </c>
      <c r="W50" s="115"/>
      <c r="X50" s="115"/>
      <c r="Y50" s="125"/>
      <c r="Z50" s="125"/>
      <c r="AA50" s="123" t="s">
        <v>88</v>
      </c>
      <c r="AB50" s="186"/>
      <c r="AC50" s="186"/>
      <c r="AD50" s="23"/>
      <c r="AE50" s="23"/>
      <c r="AF50" s="4"/>
      <c r="AG50" s="4"/>
    </row>
    <row r="51" spans="1:33" s="21" customFormat="1">
      <c r="A51" s="184"/>
      <c r="B51" s="185">
        <f t="shared" si="1"/>
        <v>40</v>
      </c>
      <c r="C51" s="187" t="s">
        <v>70</v>
      </c>
      <c r="D51" s="115" t="s">
        <v>89</v>
      </c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24" t="s">
        <v>27</v>
      </c>
      <c r="V51" s="127" t="s">
        <v>33</v>
      </c>
      <c r="W51" s="115">
        <v>20</v>
      </c>
      <c r="X51" s="115"/>
      <c r="Y51" s="125"/>
      <c r="Z51" s="125">
        <v>15</v>
      </c>
      <c r="AA51" s="123" t="s">
        <v>89</v>
      </c>
      <c r="AB51" s="186"/>
      <c r="AC51" s="186"/>
      <c r="AD51" s="23"/>
      <c r="AE51" s="23"/>
      <c r="AF51" s="4"/>
      <c r="AG51" s="4"/>
    </row>
    <row r="52" spans="1:33" s="21" customFormat="1">
      <c r="A52" s="184"/>
      <c r="B52" s="185">
        <f t="shared" si="1"/>
        <v>41</v>
      </c>
      <c r="C52" s="115" t="s">
        <v>71</v>
      </c>
      <c r="D52" s="115" t="s">
        <v>90</v>
      </c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24" t="s">
        <v>27</v>
      </c>
      <c r="V52" s="127" t="s">
        <v>29</v>
      </c>
      <c r="W52" s="115"/>
      <c r="X52" s="115"/>
      <c r="Y52" s="125"/>
      <c r="Z52" s="125"/>
      <c r="AA52" s="123" t="s">
        <v>90</v>
      </c>
      <c r="AB52" s="186"/>
      <c r="AC52" s="186"/>
      <c r="AD52" s="23"/>
      <c r="AE52" s="23"/>
      <c r="AF52" s="4"/>
      <c r="AG52" s="4"/>
    </row>
    <row r="53" spans="1:33" s="21" customFormat="1">
      <c r="A53" s="184"/>
      <c r="B53" s="185">
        <f t="shared" si="1"/>
        <v>42</v>
      </c>
      <c r="C53" s="114" t="s">
        <v>72</v>
      </c>
      <c r="D53" s="115" t="s">
        <v>91</v>
      </c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24" t="s">
        <v>27</v>
      </c>
      <c r="V53" s="115" t="s">
        <v>33</v>
      </c>
      <c r="W53" s="199">
        <v>20</v>
      </c>
      <c r="X53" s="115"/>
      <c r="Y53" s="125"/>
      <c r="Z53" s="125">
        <v>15</v>
      </c>
      <c r="AA53" s="123" t="s">
        <v>91</v>
      </c>
      <c r="AB53" s="186"/>
      <c r="AC53" s="186"/>
      <c r="AD53" s="23"/>
      <c r="AE53" s="23"/>
      <c r="AF53" s="4"/>
      <c r="AG53" s="4"/>
    </row>
    <row r="54" spans="1:33" s="21" customFormat="1">
      <c r="A54" s="25"/>
      <c r="B54" s="24">
        <f t="shared" ref="B54:B96" si="2">ROW()-11</f>
        <v>43</v>
      </c>
      <c r="C54" s="114" t="s">
        <v>73</v>
      </c>
      <c r="D54" s="115" t="s">
        <v>78</v>
      </c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24" t="s">
        <v>27</v>
      </c>
      <c r="V54" s="115" t="s">
        <v>74</v>
      </c>
      <c r="W54" s="199"/>
      <c r="X54" s="115"/>
      <c r="Y54" s="125"/>
      <c r="Z54" s="125"/>
      <c r="AA54" s="123" t="s">
        <v>78</v>
      </c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2"/>
        <v>44</v>
      </c>
      <c r="C55" s="71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26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2"/>
        <v>45</v>
      </c>
      <c r="C56" s="34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72"/>
      <c r="W56" s="68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2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72"/>
      <c r="W57" s="26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2"/>
        <v>47</v>
      </c>
      <c r="C58" s="15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72"/>
      <c r="W58" s="68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2"/>
        <v>48</v>
      </c>
      <c r="C59" s="15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34"/>
      <c r="W59" s="68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2"/>
        <v>49</v>
      </c>
      <c r="C60" s="15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34"/>
      <c r="W60" s="68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2"/>
        <v>50</v>
      </c>
      <c r="C61" s="15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34"/>
      <c r="W61" s="68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2"/>
        <v>51</v>
      </c>
      <c r="C62" s="15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34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2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68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2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68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2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68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2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34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2"/>
        <v>56</v>
      </c>
      <c r="C67" s="15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34"/>
      <c r="W67" s="68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2"/>
        <v>57</v>
      </c>
      <c r="C68" s="15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34"/>
      <c r="W68" s="68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2"/>
        <v>58</v>
      </c>
      <c r="C69" s="15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34"/>
      <c r="W69" s="68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2"/>
        <v>59</v>
      </c>
      <c r="C70" s="15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34"/>
      <c r="W70" s="68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2"/>
        <v>60</v>
      </c>
      <c r="C71" s="15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34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2"/>
        <v>61</v>
      </c>
      <c r="C72" s="15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34"/>
      <c r="W72" s="68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2"/>
        <v>62</v>
      </c>
      <c r="C73" s="15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34"/>
      <c r="W73" s="68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2"/>
        <v>63</v>
      </c>
      <c r="C74" s="15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34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2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34"/>
      <c r="W75" s="68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si="2"/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34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2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2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2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2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2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2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2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2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2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2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3" customFormat="1">
      <c r="A87" s="22"/>
      <c r="B87" s="24">
        <f t="shared" si="2"/>
        <v>76</v>
      </c>
      <c r="C87" s="15"/>
      <c r="D87" s="72"/>
      <c r="E87" s="73"/>
      <c r="F87" s="73"/>
      <c r="G87" s="73"/>
      <c r="H87" s="73"/>
      <c r="I87" s="73"/>
      <c r="J87" s="73"/>
      <c r="K87" s="74"/>
      <c r="L87" s="73"/>
      <c r="M87" s="73"/>
      <c r="N87" s="73"/>
      <c r="O87" s="26"/>
      <c r="P87" s="73"/>
      <c r="Q87" s="73"/>
      <c r="R87" s="73"/>
      <c r="S87" s="72"/>
      <c r="T87" s="73"/>
      <c r="U87" s="73"/>
      <c r="V87" s="73"/>
      <c r="W87" s="26"/>
      <c r="X87" s="26"/>
      <c r="Y87" s="26"/>
      <c r="Z87" s="75"/>
      <c r="AA87" s="76"/>
      <c r="AB87" s="77"/>
      <c r="AC87" s="77"/>
      <c r="AF87" s="4"/>
      <c r="AG87" s="4"/>
    </row>
    <row r="88" spans="1:33" s="27" customFormat="1">
      <c r="A88" s="25"/>
      <c r="B88" s="24">
        <f t="shared" si="2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68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7" customFormat="1">
      <c r="A89" s="25"/>
      <c r="B89" s="24">
        <f t="shared" si="2"/>
        <v>78</v>
      </c>
      <c r="C89" s="15"/>
      <c r="D89" s="72"/>
      <c r="E89" s="73"/>
      <c r="F89" s="73"/>
      <c r="G89" s="73"/>
      <c r="H89" s="73"/>
      <c r="I89" s="73"/>
      <c r="J89" s="73"/>
      <c r="K89" s="74"/>
      <c r="L89" s="73"/>
      <c r="M89" s="73"/>
      <c r="N89" s="73"/>
      <c r="O89" s="26"/>
      <c r="P89" s="73"/>
      <c r="Q89" s="73"/>
      <c r="R89" s="73"/>
      <c r="S89" s="72"/>
      <c r="T89" s="73"/>
      <c r="U89" s="73"/>
      <c r="V89" s="73"/>
      <c r="W89" s="26"/>
      <c r="X89" s="26"/>
      <c r="Y89" s="26"/>
      <c r="Z89" s="75"/>
      <c r="AA89" s="76"/>
      <c r="AB89" s="77"/>
      <c r="AC89" s="77"/>
      <c r="AD89" s="23"/>
      <c r="AE89" s="23"/>
      <c r="AF89" s="4"/>
      <c r="AG89" s="4"/>
    </row>
    <row r="90" spans="1:33" s="27" customFormat="1">
      <c r="A90" s="25"/>
      <c r="B90" s="24">
        <f t="shared" si="2"/>
        <v>79</v>
      </c>
      <c r="C90" s="15"/>
      <c r="D90" s="72"/>
      <c r="E90" s="73"/>
      <c r="F90" s="73"/>
      <c r="G90" s="73"/>
      <c r="H90" s="73"/>
      <c r="I90" s="73"/>
      <c r="J90" s="73"/>
      <c r="K90" s="74"/>
      <c r="L90" s="73"/>
      <c r="M90" s="73"/>
      <c r="N90" s="73"/>
      <c r="O90" s="26"/>
      <c r="P90" s="73"/>
      <c r="Q90" s="73"/>
      <c r="R90" s="73"/>
      <c r="S90" s="72"/>
      <c r="T90" s="73"/>
      <c r="U90" s="73"/>
      <c r="V90" s="73"/>
      <c r="W90" s="26"/>
      <c r="X90" s="26"/>
      <c r="Y90" s="26"/>
      <c r="Z90" s="75"/>
      <c r="AA90" s="76"/>
      <c r="AB90" s="77"/>
      <c r="AC90" s="77"/>
      <c r="AD90" s="23"/>
      <c r="AE90" s="23"/>
      <c r="AF90" s="4"/>
      <c r="AG90" s="4"/>
    </row>
    <row r="91" spans="1:33" s="27" customFormat="1">
      <c r="A91" s="25"/>
      <c r="B91" s="24">
        <f t="shared" si="2"/>
        <v>80</v>
      </c>
      <c r="C91" s="15"/>
      <c r="D91" s="72"/>
      <c r="E91" s="73"/>
      <c r="F91" s="73"/>
      <c r="G91" s="73"/>
      <c r="H91" s="73"/>
      <c r="I91" s="73"/>
      <c r="J91" s="73"/>
      <c r="K91" s="74"/>
      <c r="L91" s="73"/>
      <c r="M91" s="73"/>
      <c r="N91" s="73"/>
      <c r="O91" s="26"/>
      <c r="P91" s="73"/>
      <c r="Q91" s="73"/>
      <c r="R91" s="73"/>
      <c r="S91" s="72"/>
      <c r="T91" s="73"/>
      <c r="U91" s="73"/>
      <c r="V91" s="73"/>
      <c r="W91" s="26"/>
      <c r="X91" s="26"/>
      <c r="Y91" s="26"/>
      <c r="Z91" s="75"/>
      <c r="AA91" s="76"/>
      <c r="AB91" s="77"/>
      <c r="AC91" s="77"/>
      <c r="AD91" s="23"/>
      <c r="AE91" s="23"/>
      <c r="AF91" s="4"/>
      <c r="AG91" s="4"/>
    </row>
    <row r="92" spans="1:33" s="27" customFormat="1">
      <c r="A92" s="25"/>
      <c r="B92" s="24">
        <f t="shared" si="2"/>
        <v>81</v>
      </c>
      <c r="C92" s="15"/>
      <c r="D92" s="72"/>
      <c r="E92" s="73"/>
      <c r="F92" s="73"/>
      <c r="G92" s="73"/>
      <c r="H92" s="73"/>
      <c r="I92" s="73"/>
      <c r="J92" s="73"/>
      <c r="K92" s="74"/>
      <c r="L92" s="73"/>
      <c r="M92" s="73"/>
      <c r="N92" s="73"/>
      <c r="O92" s="26"/>
      <c r="P92" s="73"/>
      <c r="Q92" s="73"/>
      <c r="R92" s="73"/>
      <c r="S92" s="72"/>
      <c r="T92" s="73"/>
      <c r="U92" s="73"/>
      <c r="V92" s="73"/>
      <c r="W92" s="26"/>
      <c r="X92" s="26"/>
      <c r="Y92" s="26"/>
      <c r="Z92" s="75"/>
      <c r="AA92" s="76"/>
      <c r="AB92" s="77"/>
      <c r="AC92" s="77"/>
      <c r="AD92" s="23"/>
      <c r="AE92" s="23"/>
      <c r="AF92" s="4"/>
      <c r="AG92" s="4"/>
    </row>
    <row r="93" spans="1:33" s="27" customFormat="1">
      <c r="A93" s="25"/>
      <c r="B93" s="24">
        <f t="shared" si="2"/>
        <v>82</v>
      </c>
      <c r="C93" s="15"/>
      <c r="D93" s="72"/>
      <c r="E93" s="73"/>
      <c r="F93" s="73"/>
      <c r="G93" s="73"/>
      <c r="H93" s="73"/>
      <c r="I93" s="73"/>
      <c r="J93" s="73"/>
      <c r="K93" s="74"/>
      <c r="L93" s="73"/>
      <c r="M93" s="73"/>
      <c r="N93" s="73"/>
      <c r="O93" s="26"/>
      <c r="P93" s="73"/>
      <c r="Q93" s="73"/>
      <c r="R93" s="73"/>
      <c r="S93" s="72"/>
      <c r="T93" s="73"/>
      <c r="U93" s="73"/>
      <c r="V93" s="73"/>
      <c r="W93" s="26"/>
      <c r="X93" s="26"/>
      <c r="Y93" s="26"/>
      <c r="Z93" s="75"/>
      <c r="AA93" s="76"/>
      <c r="AB93" s="77"/>
      <c r="AC93" s="77"/>
      <c r="AD93" s="23"/>
      <c r="AE93" s="23"/>
      <c r="AF93" s="4"/>
      <c r="AG93" s="4"/>
    </row>
    <row r="94" spans="1:33" s="27" customFormat="1">
      <c r="A94" s="25"/>
      <c r="B94" s="24">
        <f t="shared" si="2"/>
        <v>83</v>
      </c>
      <c r="C94" s="15"/>
      <c r="D94" s="72"/>
      <c r="E94" s="73"/>
      <c r="F94" s="73"/>
      <c r="G94" s="73"/>
      <c r="H94" s="73"/>
      <c r="I94" s="73"/>
      <c r="J94" s="73"/>
      <c r="K94" s="74"/>
      <c r="L94" s="73"/>
      <c r="M94" s="73"/>
      <c r="N94" s="73"/>
      <c r="O94" s="26"/>
      <c r="P94" s="73"/>
      <c r="Q94" s="73"/>
      <c r="R94" s="73"/>
      <c r="S94" s="72"/>
      <c r="T94" s="73"/>
      <c r="U94" s="73"/>
      <c r="V94" s="73"/>
      <c r="W94" s="26"/>
      <c r="X94" s="26"/>
      <c r="Y94" s="26"/>
      <c r="Z94" s="75"/>
      <c r="AA94" s="76"/>
      <c r="AB94" s="77"/>
      <c r="AC94" s="77"/>
      <c r="AD94" s="23"/>
      <c r="AE94" s="23"/>
      <c r="AF94" s="4"/>
      <c r="AG94" s="4"/>
    </row>
    <row r="95" spans="1:33" s="27" customFormat="1">
      <c r="A95" s="25"/>
      <c r="B95" s="24">
        <f t="shared" si="2"/>
        <v>84</v>
      </c>
      <c r="C95" s="15"/>
      <c r="D95" s="72"/>
      <c r="E95" s="73"/>
      <c r="F95" s="73"/>
      <c r="G95" s="73"/>
      <c r="H95" s="73"/>
      <c r="I95" s="73"/>
      <c r="J95" s="73"/>
      <c r="K95" s="74"/>
      <c r="L95" s="73"/>
      <c r="M95" s="73"/>
      <c r="N95" s="73"/>
      <c r="O95" s="26"/>
      <c r="P95" s="73"/>
      <c r="Q95" s="73"/>
      <c r="R95" s="73"/>
      <c r="S95" s="72"/>
      <c r="T95" s="73"/>
      <c r="U95" s="73"/>
      <c r="V95" s="73"/>
      <c r="W95" s="26"/>
      <c r="X95" s="26"/>
      <c r="Y95" s="26"/>
      <c r="Z95" s="75"/>
      <c r="AA95" s="76"/>
      <c r="AB95" s="77"/>
      <c r="AC95" s="77"/>
      <c r="AD95" s="23"/>
      <c r="AE95" s="23"/>
      <c r="AF95" s="4"/>
      <c r="AG95" s="4"/>
    </row>
    <row r="96" spans="1:33" ht="12.6" thickBot="1">
      <c r="A96" s="78"/>
      <c r="B96" s="79">
        <f t="shared" si="2"/>
        <v>85</v>
      </c>
      <c r="C96" s="80"/>
      <c r="D96" s="81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3"/>
      <c r="V96" s="83"/>
      <c r="W96" s="79"/>
      <c r="X96" s="82"/>
      <c r="Y96" s="84"/>
      <c r="Z96" s="84"/>
      <c r="AA96" s="85"/>
      <c r="AB96" s="86"/>
      <c r="AC96" s="86"/>
      <c r="AD96" s="23"/>
      <c r="AE96" s="23"/>
    </row>
    <row r="97" spans="1:26">
      <c r="A97" s="3"/>
      <c r="B97" s="3"/>
      <c r="C97" s="11"/>
      <c r="D97" s="88"/>
      <c r="E97" s="3"/>
      <c r="F97" s="3"/>
      <c r="G97" s="3"/>
      <c r="H97" s="3"/>
      <c r="I97" s="3"/>
      <c r="J97" s="3"/>
      <c r="K97" s="2"/>
      <c r="L97" s="3"/>
      <c r="M97" s="3"/>
      <c r="N97" s="3"/>
      <c r="O97" s="6"/>
      <c r="P97" s="3"/>
      <c r="Q97" s="3"/>
      <c r="R97" s="3"/>
      <c r="S97" s="88"/>
      <c r="T97" s="3"/>
      <c r="U97" s="3"/>
      <c r="V97" s="3"/>
      <c r="W97" s="6"/>
      <c r="X97" s="6"/>
      <c r="Y97" s="6"/>
      <c r="Z97" s="6"/>
    </row>
    <row r="98" spans="1:26">
      <c r="A98" s="3"/>
      <c r="B98" s="3"/>
      <c r="C98" s="11"/>
      <c r="D98" s="88"/>
      <c r="E98" s="3"/>
      <c r="F98" s="3"/>
      <c r="G98" s="3"/>
      <c r="H98" s="3"/>
      <c r="I98" s="3"/>
      <c r="J98" s="3"/>
      <c r="K98" s="2"/>
      <c r="L98" s="3"/>
      <c r="M98" s="3"/>
      <c r="N98" s="3"/>
      <c r="O98" s="6"/>
      <c r="P98" s="3"/>
      <c r="Q98" s="3"/>
      <c r="R98" s="3"/>
      <c r="S98" s="88"/>
      <c r="T98" s="3"/>
      <c r="U98" s="3"/>
      <c r="V98" s="3"/>
      <c r="W98" s="6"/>
      <c r="X98" s="6"/>
      <c r="Y98" s="6"/>
      <c r="Z98" s="6"/>
    </row>
    <row r="99" spans="1:26">
      <c r="A99" s="3"/>
      <c r="B99" s="3"/>
      <c r="C99" s="11"/>
      <c r="D99" s="88"/>
      <c r="E99" s="3"/>
      <c r="F99" s="3"/>
      <c r="G99" s="3"/>
      <c r="H99" s="3"/>
      <c r="I99" s="3"/>
      <c r="J99" s="3"/>
      <c r="K99" s="2"/>
      <c r="L99" s="3"/>
      <c r="M99" s="3"/>
      <c r="N99" s="3"/>
      <c r="O99" s="6"/>
      <c r="P99" s="3"/>
      <c r="Q99" s="3"/>
      <c r="R99" s="3"/>
      <c r="S99" s="88"/>
      <c r="T99" s="3"/>
      <c r="U99" s="3"/>
      <c r="V99" s="3"/>
      <c r="W99" s="6"/>
      <c r="X99" s="6"/>
      <c r="Y99" s="6"/>
      <c r="Z99" s="6"/>
    </row>
    <row r="100" spans="1:26">
      <c r="A100" s="3"/>
      <c r="B100" s="3"/>
      <c r="C100" s="11"/>
      <c r="D100" s="88"/>
      <c r="E100" s="3"/>
      <c r="F100" s="3"/>
      <c r="G100" s="3"/>
      <c r="H100" s="3"/>
      <c r="I100" s="3"/>
      <c r="J100" s="3"/>
      <c r="K100" s="2"/>
      <c r="L100" s="3"/>
      <c r="M100" s="3"/>
      <c r="N100" s="3"/>
      <c r="O100" s="6"/>
      <c r="P100" s="3"/>
      <c r="Q100" s="3"/>
      <c r="R100" s="3"/>
      <c r="S100" s="88"/>
      <c r="T100" s="3"/>
      <c r="U100" s="3"/>
      <c r="V100" s="3"/>
      <c r="W100" s="6"/>
      <c r="X100" s="6"/>
      <c r="Y100" s="6"/>
      <c r="Z100" s="6"/>
    </row>
    <row r="101" spans="1:26">
      <c r="A101" s="3"/>
      <c r="B101" s="3"/>
      <c r="C101" s="11"/>
      <c r="D101" s="88"/>
      <c r="E101" s="3"/>
      <c r="F101" s="3"/>
      <c r="G101" s="3"/>
      <c r="H101" s="3"/>
      <c r="I101" s="3"/>
      <c r="J101" s="3"/>
      <c r="K101" s="2"/>
      <c r="L101" s="3"/>
      <c r="M101" s="3"/>
      <c r="N101" s="3"/>
      <c r="O101" s="6"/>
      <c r="P101" s="3"/>
      <c r="Q101" s="3"/>
      <c r="R101" s="3"/>
      <c r="S101" s="88"/>
      <c r="T101" s="3"/>
      <c r="U101" s="3"/>
      <c r="V101" s="3"/>
      <c r="W101" s="6"/>
      <c r="X101" s="6"/>
      <c r="Y101" s="6"/>
      <c r="Z101" s="6"/>
    </row>
    <row r="102" spans="1:26">
      <c r="A102" s="3"/>
      <c r="B102" s="3"/>
      <c r="C102" s="11"/>
      <c r="D102" s="88"/>
      <c r="E102" s="3"/>
      <c r="F102" s="3"/>
      <c r="G102" s="3"/>
      <c r="H102" s="3"/>
      <c r="I102" s="3"/>
      <c r="J102" s="3"/>
      <c r="K102" s="2"/>
      <c r="L102" s="3"/>
      <c r="M102" s="3"/>
      <c r="N102" s="3"/>
      <c r="O102" s="6"/>
      <c r="P102" s="3"/>
      <c r="Q102" s="3"/>
      <c r="R102" s="3"/>
      <c r="S102" s="88"/>
      <c r="T102" s="3"/>
      <c r="U102" s="3"/>
      <c r="V102" s="3"/>
      <c r="W102" s="6"/>
      <c r="X102" s="6"/>
      <c r="Y102" s="6"/>
      <c r="Z102" s="6"/>
    </row>
    <row r="103" spans="1:26">
      <c r="A103" s="3"/>
      <c r="B103" s="3"/>
      <c r="C103" s="11"/>
      <c r="D103" s="88"/>
      <c r="E103" s="3"/>
      <c r="F103" s="3"/>
      <c r="G103" s="3"/>
      <c r="H103" s="3"/>
      <c r="I103" s="3"/>
      <c r="J103" s="3"/>
      <c r="K103" s="2"/>
      <c r="L103" s="3"/>
      <c r="M103" s="3"/>
      <c r="N103" s="3"/>
      <c r="O103" s="6"/>
      <c r="P103" s="3"/>
      <c r="Q103" s="3"/>
      <c r="R103" s="3"/>
      <c r="S103" s="88"/>
      <c r="T103" s="3"/>
      <c r="U103" s="3"/>
      <c r="V103" s="3"/>
      <c r="W103" s="6"/>
      <c r="X103" s="6"/>
      <c r="Y103" s="6"/>
      <c r="Z103" s="6"/>
    </row>
    <row r="104" spans="1:26">
      <c r="A104" s="3"/>
      <c r="B104" s="3"/>
      <c r="C104" s="11"/>
      <c r="D104" s="88"/>
      <c r="E104" s="3"/>
      <c r="F104" s="3"/>
      <c r="G104" s="3"/>
      <c r="H104" s="3"/>
      <c r="I104" s="3"/>
      <c r="J104" s="3"/>
      <c r="K104" s="2"/>
      <c r="L104" s="3"/>
      <c r="M104" s="3"/>
      <c r="N104" s="3"/>
      <c r="O104" s="6"/>
      <c r="P104" s="3"/>
      <c r="Q104" s="3"/>
      <c r="R104" s="3"/>
      <c r="S104" s="88"/>
      <c r="T104" s="3"/>
      <c r="U104" s="3"/>
      <c r="V104" s="3"/>
      <c r="W104" s="6"/>
      <c r="X104" s="6"/>
      <c r="Y104" s="6"/>
      <c r="Z104" s="6"/>
    </row>
    <row r="105" spans="1:26">
      <c r="A105" s="3"/>
      <c r="B105" s="3"/>
      <c r="C105" s="11"/>
      <c r="D105" s="88"/>
      <c r="E105" s="3"/>
      <c r="F105" s="3"/>
      <c r="G105" s="3"/>
      <c r="H105" s="3"/>
      <c r="I105" s="3"/>
      <c r="J105" s="3"/>
      <c r="K105" s="2"/>
      <c r="L105" s="3"/>
      <c r="M105" s="3"/>
      <c r="N105" s="3"/>
      <c r="O105" s="6"/>
      <c r="P105" s="3"/>
      <c r="Q105" s="3"/>
      <c r="R105" s="3"/>
      <c r="S105" s="88"/>
      <c r="T105" s="3"/>
      <c r="U105" s="3"/>
      <c r="V105" s="3"/>
      <c r="W105" s="6"/>
      <c r="X105" s="6"/>
      <c r="Y105" s="6"/>
      <c r="Z105" s="6"/>
    </row>
    <row r="106" spans="1:26">
      <c r="A106" s="3"/>
      <c r="B106" s="3"/>
      <c r="C106" s="11"/>
      <c r="D106" s="88"/>
      <c r="E106" s="3"/>
      <c r="F106" s="3"/>
      <c r="G106" s="3"/>
      <c r="H106" s="3"/>
      <c r="I106" s="3"/>
      <c r="J106" s="3"/>
      <c r="K106" s="2"/>
      <c r="L106" s="3"/>
      <c r="M106" s="3"/>
      <c r="N106" s="3"/>
      <c r="O106" s="6"/>
      <c r="P106" s="3"/>
      <c r="Q106" s="3"/>
      <c r="R106" s="3"/>
      <c r="S106" s="88"/>
      <c r="T106" s="3"/>
      <c r="U106" s="3"/>
      <c r="V106" s="3"/>
      <c r="W106" s="6"/>
      <c r="X106" s="6"/>
      <c r="Y106" s="6"/>
      <c r="Z106" s="6"/>
    </row>
    <row r="107" spans="1:26">
      <c r="A107" s="3"/>
      <c r="B107" s="3"/>
      <c r="C107" s="11"/>
      <c r="D107" s="88"/>
      <c r="E107" s="3"/>
      <c r="F107" s="3"/>
      <c r="G107" s="3"/>
      <c r="H107" s="3"/>
      <c r="I107" s="3"/>
      <c r="J107" s="3"/>
      <c r="K107" s="2"/>
      <c r="L107" s="3"/>
      <c r="M107" s="3"/>
      <c r="N107" s="3"/>
      <c r="O107" s="6"/>
      <c r="P107" s="3"/>
      <c r="Q107" s="3"/>
      <c r="R107" s="3"/>
      <c r="S107" s="88"/>
      <c r="T107" s="3"/>
      <c r="U107" s="3"/>
      <c r="V107" s="3"/>
      <c r="W107" s="6"/>
      <c r="X107" s="6"/>
      <c r="Y107" s="6"/>
      <c r="Z107" s="6"/>
    </row>
    <row r="108" spans="1:26">
      <c r="A108" s="3"/>
      <c r="B108" s="3"/>
      <c r="C108" s="11"/>
      <c r="D108" s="88"/>
      <c r="E108" s="3"/>
      <c r="F108" s="3"/>
      <c r="G108" s="3"/>
      <c r="H108" s="3"/>
      <c r="I108" s="3"/>
      <c r="J108" s="3"/>
      <c r="K108" s="2"/>
      <c r="L108" s="3"/>
      <c r="M108" s="3"/>
      <c r="N108" s="3"/>
      <c r="O108" s="6"/>
      <c r="P108" s="3"/>
      <c r="Q108" s="3"/>
      <c r="R108" s="3"/>
      <c r="S108" s="88"/>
      <c r="T108" s="3"/>
      <c r="U108" s="3"/>
      <c r="V108" s="3"/>
      <c r="W108" s="6"/>
      <c r="X108" s="6"/>
      <c r="Y108" s="6"/>
      <c r="Z108" s="6"/>
    </row>
    <row r="109" spans="1:26">
      <c r="A109" s="3"/>
      <c r="B109" s="3"/>
      <c r="C109" s="11"/>
      <c r="D109" s="88"/>
      <c r="E109" s="3"/>
      <c r="F109" s="3"/>
      <c r="G109" s="3"/>
      <c r="H109" s="3"/>
      <c r="I109" s="3"/>
      <c r="J109" s="3"/>
      <c r="K109" s="2"/>
      <c r="L109" s="3"/>
      <c r="M109" s="3"/>
      <c r="N109" s="3"/>
      <c r="O109" s="6"/>
      <c r="P109" s="3"/>
      <c r="Q109" s="3"/>
      <c r="R109" s="3"/>
      <c r="S109" s="88"/>
      <c r="T109" s="3"/>
      <c r="U109" s="3"/>
      <c r="V109" s="3"/>
      <c r="W109" s="6"/>
      <c r="X109" s="6"/>
      <c r="Y109" s="6"/>
      <c r="Z109" s="6"/>
    </row>
    <row r="110" spans="1:26">
      <c r="A110" s="3"/>
      <c r="B110" s="3"/>
      <c r="C110" s="11"/>
      <c r="D110" s="88"/>
      <c r="E110" s="3"/>
      <c r="F110" s="3"/>
      <c r="G110" s="3"/>
      <c r="H110" s="3"/>
      <c r="I110" s="3"/>
      <c r="J110" s="3"/>
      <c r="K110" s="2"/>
      <c r="L110" s="3"/>
      <c r="M110" s="3"/>
      <c r="N110" s="3"/>
      <c r="O110" s="6"/>
      <c r="P110" s="3"/>
      <c r="Q110" s="3"/>
      <c r="R110" s="3"/>
      <c r="S110" s="88"/>
      <c r="T110" s="3"/>
      <c r="U110" s="3"/>
      <c r="V110" s="3"/>
      <c r="W110" s="6"/>
      <c r="X110" s="6"/>
      <c r="Y110" s="6"/>
      <c r="Z110" s="6"/>
    </row>
    <row r="111" spans="1:26">
      <c r="A111" s="3"/>
      <c r="B111" s="3"/>
      <c r="C111" s="11"/>
      <c r="D111" s="88"/>
      <c r="E111" s="3"/>
      <c r="F111" s="3"/>
      <c r="G111" s="3"/>
      <c r="H111" s="3"/>
      <c r="I111" s="3"/>
      <c r="J111" s="3"/>
      <c r="K111" s="2"/>
      <c r="L111" s="3"/>
      <c r="M111" s="3"/>
      <c r="N111" s="3"/>
      <c r="O111" s="6"/>
      <c r="P111" s="3"/>
      <c r="Q111" s="3"/>
      <c r="R111" s="3"/>
      <c r="S111" s="88"/>
      <c r="T111" s="3"/>
      <c r="U111" s="3"/>
      <c r="V111" s="3"/>
      <c r="W111" s="6"/>
      <c r="X111" s="6"/>
      <c r="Y111" s="6"/>
      <c r="Z111" s="6"/>
    </row>
    <row r="112" spans="1:26">
      <c r="A112" s="3"/>
      <c r="B112" s="3"/>
      <c r="C112" s="11"/>
      <c r="D112" s="88"/>
      <c r="E112" s="3"/>
      <c r="F112" s="3"/>
      <c r="G112" s="3"/>
      <c r="H112" s="3"/>
      <c r="I112" s="3"/>
      <c r="J112" s="3"/>
      <c r="K112" s="2"/>
      <c r="L112" s="3"/>
      <c r="M112" s="3"/>
      <c r="N112" s="3"/>
      <c r="O112" s="6"/>
      <c r="P112" s="3"/>
      <c r="Q112" s="3"/>
      <c r="R112" s="3"/>
      <c r="S112" s="88"/>
      <c r="T112" s="3"/>
      <c r="U112" s="3"/>
      <c r="V112" s="3"/>
      <c r="W112" s="6"/>
      <c r="X112" s="6"/>
      <c r="Y112" s="6"/>
      <c r="Z112" s="6"/>
    </row>
    <row r="113" spans="1:26">
      <c r="A113" s="3"/>
      <c r="B113" s="3"/>
      <c r="C113" s="11"/>
      <c r="D113" s="88"/>
      <c r="E113" s="3"/>
      <c r="F113" s="3"/>
      <c r="G113" s="3"/>
      <c r="H113" s="3"/>
      <c r="I113" s="3"/>
      <c r="J113" s="3"/>
      <c r="K113" s="2"/>
      <c r="L113" s="3"/>
      <c r="M113" s="3"/>
      <c r="N113" s="3"/>
      <c r="O113" s="6"/>
      <c r="P113" s="3"/>
      <c r="Q113" s="3"/>
      <c r="R113" s="3"/>
      <c r="S113" s="88"/>
      <c r="T113" s="3"/>
      <c r="U113" s="3"/>
      <c r="V113" s="3"/>
      <c r="W113" s="6"/>
      <c r="X113" s="6"/>
      <c r="Y113" s="6"/>
      <c r="Z113" s="6"/>
    </row>
    <row r="114" spans="1:26">
      <c r="A114" s="3"/>
      <c r="B114" s="3"/>
      <c r="C114" s="11"/>
      <c r="D114" s="88"/>
      <c r="E114" s="3"/>
      <c r="F114" s="3"/>
      <c r="G114" s="3"/>
      <c r="H114" s="3"/>
      <c r="I114" s="3"/>
      <c r="J114" s="3"/>
      <c r="K114" s="2"/>
      <c r="L114" s="3"/>
      <c r="M114" s="3"/>
      <c r="N114" s="3"/>
      <c r="O114" s="6"/>
      <c r="P114" s="3"/>
      <c r="Q114" s="3"/>
      <c r="R114" s="3"/>
      <c r="S114" s="88"/>
      <c r="T114" s="3"/>
      <c r="U114" s="3"/>
      <c r="V114" s="3"/>
      <c r="W114" s="6"/>
      <c r="X114" s="6"/>
      <c r="Y114" s="6"/>
      <c r="Z114" s="6"/>
    </row>
    <row r="115" spans="1:26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26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26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26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26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26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26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26">
      <c r="A122" s="3"/>
      <c r="B122" s="3"/>
      <c r="C122" s="28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26">
      <c r="A123" s="3"/>
      <c r="B123" s="3"/>
      <c r="C123" s="28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26">
      <c r="A124" s="3"/>
      <c r="B124" s="3"/>
      <c r="C124" s="28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26">
      <c r="A125" s="3"/>
      <c r="B125" s="3"/>
      <c r="C125" s="29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26">
      <c r="A126" s="3"/>
      <c r="B126" s="3"/>
      <c r="C126" s="29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26">
      <c r="A127" s="3"/>
      <c r="B127" s="3"/>
      <c r="C127" s="30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26">
      <c r="A128" s="3"/>
      <c r="B128" s="3"/>
      <c r="C128" s="3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3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2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2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2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2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2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2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2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2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2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2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2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2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2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54:AC96">
    <cfRule type="expression" dxfId="503" priority="60">
      <formula>NOT(ISBLANK(INDIRECT("RC28",FALSE)))</formula>
    </cfRule>
  </conditionalFormatting>
  <conditionalFormatting sqref="C54:AC96">
    <cfRule type="expression" dxfId="502" priority="59" stopIfTrue="1">
      <formula>AND(ISBLANK(INDIRECT("RC2",FALSE)),NOT(ISBLANK(INDIRECT("RC3",FALSE))))</formula>
    </cfRule>
  </conditionalFormatting>
  <conditionalFormatting sqref="B13:AC13 B16:AC16 B12 B17:B23 AB12:AC12 AB17:AC23 B25:D32 F25:AC32 B14:B15 AB14:AC15 C15:AA16 B33:AC53 C49:AA54">
    <cfRule type="expression" dxfId="501" priority="1">
      <formula>NOT(ISBLANK(INDIRECT("RC28",FALSE)))</formula>
    </cfRule>
  </conditionalFormatting>
  <conditionalFormatting sqref="C13:AC13 C16:AC16 AB12:AC12 AB17:AC23 C25:D32 F25:AC32 AB14:AC15 C15:AA16 C33:AC53 C49:AA54">
    <cfRule type="expression" dxfId="500" priority="2" stopIfTrue="1">
      <formula>AND(ISBLANK(INDIRECT("RC2",FALSE)),NOT(ISBLANK(INDIRECT("RC3",FALSE))))</formula>
    </cfRule>
  </conditionalFormatting>
  <conditionalFormatting sqref="C20:D23 F20:AA23">
    <cfRule type="expression" dxfId="499" priority="3">
      <formula>NOT(ISBLANK(INDIRECT("RC28",FALSE)))</formula>
    </cfRule>
  </conditionalFormatting>
  <conditionalFormatting sqref="C20:D23 F20:AA23">
    <cfRule type="expression" dxfId="498" priority="4" stopIfTrue="1">
      <formula>AND(ISBLANK(INDIRECT("RC2",FALSE)),NOT(ISBLANK(INDIRECT("RC3",FALSE))))</formula>
    </cfRule>
  </conditionalFormatting>
  <conditionalFormatting sqref="B24 AB24:AC24">
    <cfRule type="expression" dxfId="497" priority="5">
      <formula>NOT(ISBLANK(INDIRECT("RC28",FALSE)))</formula>
    </cfRule>
  </conditionalFormatting>
  <conditionalFormatting sqref="AB24:AC24">
    <cfRule type="expression" dxfId="496" priority="6" stopIfTrue="1">
      <formula>AND(ISBLANK(INDIRECT("RC2",FALSE)),NOT(ISBLANK(INDIRECT("RC3",FALSE))))</formula>
    </cfRule>
  </conditionalFormatting>
  <conditionalFormatting sqref="C24:AA24 E25:E32 E17:E23">
    <cfRule type="expression" dxfId="495" priority="7">
      <formula>NOT(ISBLANK(INDIRECT("RC28",FALSE)))</formula>
    </cfRule>
  </conditionalFormatting>
  <conditionalFormatting sqref="C24:AA24 E25:E32 E17:E23">
    <cfRule type="expression" dxfId="494" priority="8" stopIfTrue="1">
      <formula>AND(ISBLANK(INDIRECT("RC2",FALSE)),NOT(ISBLANK(INDIRECT("RC3",FALSE))))</formula>
    </cfRule>
  </conditionalFormatting>
  <conditionalFormatting sqref="C35:AA35 E14:AA14 C12:AA13 C17:D19 F17:AA19">
    <cfRule type="expression" dxfId="493" priority="9">
      <formula>NOT(ISBLANK(INDIRECT("RC28",FALSE)))</formula>
    </cfRule>
  </conditionalFormatting>
  <conditionalFormatting sqref="C35:AA35 E14:AA14 C12:AA13 C17:D19 F17:AA19">
    <cfRule type="expression" dxfId="492" priority="10" stopIfTrue="1">
      <formula>AND(ISBLANK(INDIRECT("RC2",FALSE)),NOT(ISBLANK(INDIRECT("RC3",FALSE))))</formula>
    </cfRule>
  </conditionalFormatting>
  <conditionalFormatting sqref="C14:D14">
    <cfRule type="expression" dxfId="491" priority="11" stopIfTrue="1">
      <formula>AND(ISBLANK(INDIRECT("RC2",FALSE)),NOT(ISBLANK(INDIRECT("RC3",FALSE))))</formula>
    </cfRule>
  </conditionalFormatting>
  <conditionalFormatting sqref="C14:D14">
    <cfRule type="expression" dxfId="490" priority="12">
      <formula>NOT(ISBLANK(INDIRECT("RC28",FALSE)))</formula>
    </cfRule>
  </conditionalFormatting>
  <conditionalFormatting sqref="C18:D18 V35 F17:AA18">
    <cfRule type="expression" dxfId="489" priority="13">
      <formula>NOT(ISBLANK(INDIRECT("RC28",FALSE)))</formula>
    </cfRule>
  </conditionalFormatting>
  <conditionalFormatting sqref="C18:D18 V35 F17:AA18">
    <cfRule type="expression" dxfId="488" priority="14" stopIfTrue="1">
      <formula>AND(ISBLANK(INDIRECT("RC2",FALSE)),NOT(ISBLANK(INDIRECT("RC3",FALSE))))</formula>
    </cfRule>
  </conditionalFormatting>
  <conditionalFormatting sqref="C17:D17">
    <cfRule type="expression" dxfId="487" priority="15" stopIfTrue="1">
      <formula>AND(ISBLANK(INDIRECT("RC2",FALSE)),NOT(ISBLANK(INDIRECT("RC3",FALSE))))</formula>
    </cfRule>
  </conditionalFormatting>
  <conditionalFormatting sqref="C17:D17">
    <cfRule type="expression" dxfId="486" priority="16">
      <formula>NOT(ISBLANK(INDIRECT("RC28",FALSE)))</formula>
    </cfRule>
  </conditionalFormatting>
  <conditionalFormatting sqref="C18:D18">
    <cfRule type="expression" dxfId="485" priority="17" stopIfTrue="1">
      <formula>AND(ISBLANK(INDIRECT("RC2",FALSE)),NOT(ISBLANK(INDIRECT("RC3",FALSE))))</formula>
    </cfRule>
  </conditionalFormatting>
  <conditionalFormatting sqref="C18:D18">
    <cfRule type="expression" dxfId="484" priority="18">
      <formula>NOT(ISBLANK(INDIRECT("RC28",FALSE)))</formula>
    </cfRule>
  </conditionalFormatting>
  <conditionalFormatting sqref="C35:U35 W35:AA35 E15:AA16">
    <cfRule type="expression" dxfId="483" priority="19">
      <formula>NOT(ISBLANK(INDIRECT("RC28",FALSE)))</formula>
    </cfRule>
  </conditionalFormatting>
  <conditionalFormatting sqref="C35:AA35 V17 E15:AA16">
    <cfRule type="expression" dxfId="482" priority="20" stopIfTrue="1">
      <formula>AND(ISBLANK(INDIRECT("RC2",FALSE)),NOT(ISBLANK(INDIRECT("RC3",FALSE))))</formula>
    </cfRule>
  </conditionalFormatting>
  <conditionalFormatting sqref="C15:D16">
    <cfRule type="expression" dxfId="481" priority="21" stopIfTrue="1">
      <formula>AND(ISBLANK(INDIRECT("RC2",FALSE)),NOT(ISBLANK(INDIRECT("RC3",FALSE))))</formula>
    </cfRule>
  </conditionalFormatting>
  <conditionalFormatting sqref="C15:D16">
    <cfRule type="expression" dxfId="480" priority="22">
      <formula>NOT(ISBLANK(INDIRECT("RC28",FALSE)))</formula>
    </cfRule>
  </conditionalFormatting>
  <conditionalFormatting sqref="C35:D35">
    <cfRule type="expression" dxfId="479" priority="23" stopIfTrue="1">
      <formula>AND(ISBLANK(INDIRECT("RC2",FALSE)),NOT(ISBLANK(INDIRECT("RC3",FALSE))))</formula>
    </cfRule>
  </conditionalFormatting>
  <conditionalFormatting sqref="C35:D35">
    <cfRule type="expression" dxfId="478" priority="24">
      <formula>NOT(ISBLANK(INDIRECT("RC28",FALSE)))</formula>
    </cfRule>
  </conditionalFormatting>
  <conditionalFormatting sqref="AA14">
    <cfRule type="expression" dxfId="477" priority="25">
      <formula>NOT(ISBLANK(INDIRECT("RC28",FALSE)))</formula>
    </cfRule>
  </conditionalFormatting>
  <conditionalFormatting sqref="AA14">
    <cfRule type="expression" dxfId="476" priority="26" stopIfTrue="1">
      <formula>AND(ISBLANK(INDIRECT("RC2",FALSE)),NOT(ISBLANK(INDIRECT("RC3",FALSE))))</formula>
    </cfRule>
  </conditionalFormatting>
  <conditionalFormatting sqref="AA13">
    <cfRule type="expression" dxfId="475" priority="27" stopIfTrue="1">
      <formula>AND(ISBLANK(INDIRECT("RC2",FALSE)),NOT(ISBLANK(INDIRECT("RC3",FALSE))))</formula>
    </cfRule>
  </conditionalFormatting>
  <conditionalFormatting sqref="AA13">
    <cfRule type="expression" dxfId="474" priority="28">
      <formula>NOT(ISBLANK(INDIRECT("RC28",FALSE)))</formula>
    </cfRule>
  </conditionalFormatting>
  <dataValidations count="7">
    <dataValidation type="list" allowBlank="1" showInputMessage="1" showErrorMessage="1" sqref="J5:T5 AB54:AB96 U55:U96" xr:uid="{4E010F2A-5CE0-4201-82FD-E583673AC00B}">
      <formula1>"○"</formula1>
    </dataValidation>
    <dataValidation type="list" allowBlank="1" showInputMessage="1" showErrorMessage="1" sqref="F11:T11" xr:uid="{F4B060B7-74F4-4516-A85D-A4FAD207A0F1}">
      <formula1>"IN,uIN,BR,uBR"</formula1>
    </dataValidation>
    <dataValidation type="list" allowBlank="1" showInputMessage="1" showErrorMessage="1" sqref="V55:V96" xr:uid="{0907939C-6281-4378-936C-DEE32D5CBB6A}">
      <formula1>"TEXT,VARCHAR,CHAR,NUMERIC,integer,boolean,bytea,DATE(時刻無),TIMESTAMP"</formula1>
    </dataValidation>
    <dataValidation type="list" allowBlank="1" showInputMessage="1" showErrorMessage="1" sqref="AC54:AC96" xr:uid="{9C456D6A-B672-422D-A216-0AE0D2713645}">
      <formula1>"親,子"</formula1>
    </dataValidation>
    <dataValidation type="list" allowBlank="1" showErrorMessage="1" sqref="AC12:AC53" xr:uid="{30EC1090-D329-43E5-AEE4-F8C839D86AAE}">
      <formula1>"親,子"</formula1>
    </dataValidation>
    <dataValidation type="list" allowBlank="1" showErrorMessage="1" sqref="V12:V54" xr:uid="{92F0D838-0C6C-40AA-9EBD-23D8EEA8B39D}">
      <formula1>"TEXT,VARCHAR,CHAR,NUMERIC,integer,boolean,bytea,DATE(時刻無),TIMESTAMP"</formula1>
    </dataValidation>
    <dataValidation type="list" allowBlank="1" showErrorMessage="1" sqref="AB12:AB53 U12:U54" xr:uid="{144BFDC1-C179-4BFF-A7D4-B090153B9C1A}">
      <formula1>"○"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7">
    <tabColor rgb="FFFFFF00"/>
    <pageSetUpPr fitToPage="1"/>
  </sheetPr>
  <dimension ref="A1:AG193"/>
  <sheetViews>
    <sheetView showGridLines="0" zoomScale="127" zoomScaleNormal="127" zoomScaleSheetLayoutView="100" workbookViewId="0">
      <selection activeCell="C13" sqref="C13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360</v>
      </c>
      <c r="B2" s="241"/>
      <c r="C2" s="242"/>
      <c r="D2" s="58" t="s">
        <v>361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362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363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2000000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255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108">
        <f t="shared" ref="B12:B75" si="0">ROW()-11</f>
        <v>1</v>
      </c>
      <c r="C12" s="159" t="s">
        <v>183</v>
      </c>
      <c r="D12" s="95" t="s">
        <v>184</v>
      </c>
      <c r="E12" s="95">
        <v>1</v>
      </c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4" t="s">
        <v>27</v>
      </c>
      <c r="V12" s="95" t="s">
        <v>28</v>
      </c>
      <c r="W12" s="95">
        <v>10</v>
      </c>
      <c r="X12" s="95"/>
      <c r="Y12" s="160"/>
      <c r="Z12" s="160"/>
      <c r="AA12" s="161" t="s">
        <v>184</v>
      </c>
      <c r="AB12" s="40"/>
      <c r="AC12" s="40"/>
      <c r="AD12" s="27"/>
      <c r="AE12" s="27"/>
      <c r="AG12" s="4"/>
    </row>
    <row r="13" spans="1:33" s="21" customFormat="1">
      <c r="A13" s="205" t="s">
        <v>519</v>
      </c>
      <c r="B13" s="206">
        <f t="shared" si="0"/>
        <v>2</v>
      </c>
      <c r="C13" s="219" t="s">
        <v>299</v>
      </c>
      <c r="D13" s="220" t="s">
        <v>300</v>
      </c>
      <c r="E13" s="221">
        <v>2</v>
      </c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2" t="s">
        <v>27</v>
      </c>
      <c r="V13" s="221" t="s">
        <v>74</v>
      </c>
      <c r="W13" s="221"/>
      <c r="X13" s="221"/>
      <c r="Y13" s="223"/>
      <c r="Z13" s="223"/>
      <c r="AA13" s="224" t="s">
        <v>300</v>
      </c>
      <c r="AB13" s="212"/>
      <c r="AC13" s="212"/>
      <c r="AD13" s="42" t="s">
        <v>296</v>
      </c>
      <c r="AE13" s="33" t="s">
        <v>53</v>
      </c>
      <c r="AG13" s="4"/>
    </row>
    <row r="14" spans="1:33" s="21" customFormat="1">
      <c r="A14" s="205" t="s">
        <v>519</v>
      </c>
      <c r="B14" s="206">
        <f t="shared" si="0"/>
        <v>3</v>
      </c>
      <c r="C14" s="225" t="s">
        <v>97</v>
      </c>
      <c r="D14" s="221" t="s">
        <v>98</v>
      </c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2"/>
      <c r="V14" s="221" t="s">
        <v>33</v>
      </c>
      <c r="W14" s="221">
        <v>50</v>
      </c>
      <c r="X14" s="221"/>
      <c r="Y14" s="223"/>
      <c r="Z14" s="223">
        <v>30</v>
      </c>
      <c r="AA14" s="224" t="s">
        <v>98</v>
      </c>
      <c r="AB14" s="212"/>
      <c r="AC14" s="212"/>
      <c r="AD14" s="27"/>
      <c r="AE14" s="33" t="s">
        <v>364</v>
      </c>
      <c r="AF14" s="4"/>
      <c r="AG14" s="4"/>
    </row>
    <row r="15" spans="1:33" s="21" customFormat="1">
      <c r="A15" s="205" t="s">
        <v>519</v>
      </c>
      <c r="B15" s="206">
        <f t="shared" si="0"/>
        <v>4</v>
      </c>
      <c r="C15" s="218" t="s">
        <v>99</v>
      </c>
      <c r="D15" s="214" t="s">
        <v>100</v>
      </c>
      <c r="E15" s="214"/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5"/>
      <c r="V15" s="214" t="s">
        <v>33</v>
      </c>
      <c r="W15" s="214">
        <v>100</v>
      </c>
      <c r="X15" s="214"/>
      <c r="Y15" s="216"/>
      <c r="Z15" s="216">
        <v>60</v>
      </c>
      <c r="AA15" s="217" t="s">
        <v>100</v>
      </c>
      <c r="AB15" s="212"/>
      <c r="AC15" s="212"/>
      <c r="AD15" s="27"/>
      <c r="AE15" s="33" t="s">
        <v>76</v>
      </c>
      <c r="AF15" s="4"/>
      <c r="AG15" s="4"/>
    </row>
    <row r="16" spans="1:33" s="21" customFormat="1">
      <c r="A16" s="205" t="s">
        <v>519</v>
      </c>
      <c r="B16" s="206">
        <f t="shared" si="0"/>
        <v>5</v>
      </c>
      <c r="C16" s="218" t="s">
        <v>101</v>
      </c>
      <c r="D16" s="214" t="s">
        <v>102</v>
      </c>
      <c r="E16" s="214"/>
      <c r="F16" s="214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5"/>
      <c r="V16" s="214" t="s">
        <v>33</v>
      </c>
      <c r="W16" s="214">
        <v>50</v>
      </c>
      <c r="X16" s="214"/>
      <c r="Y16" s="216"/>
      <c r="Z16" s="216">
        <v>30</v>
      </c>
      <c r="AA16" s="217" t="s">
        <v>102</v>
      </c>
      <c r="AB16" s="212"/>
      <c r="AC16" s="212"/>
      <c r="AD16" s="23"/>
      <c r="AE16" s="33" t="s">
        <v>297</v>
      </c>
      <c r="AF16" s="4"/>
      <c r="AG16" s="4"/>
    </row>
    <row r="17" spans="1:33" s="21" customFormat="1">
      <c r="A17" s="25"/>
      <c r="B17" s="108">
        <f t="shared" si="0"/>
        <v>6</v>
      </c>
      <c r="C17" s="167" t="s">
        <v>301</v>
      </c>
      <c r="D17" s="168" t="s">
        <v>302</v>
      </c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22"/>
      <c r="V17" s="168" t="s">
        <v>33</v>
      </c>
      <c r="W17" s="168">
        <v>4</v>
      </c>
      <c r="X17" s="168"/>
      <c r="Y17" s="121"/>
      <c r="Z17" s="121">
        <v>4</v>
      </c>
      <c r="AA17" s="169" t="s">
        <v>302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108">
        <f t="shared" si="0"/>
        <v>7</v>
      </c>
      <c r="C18" s="167" t="s">
        <v>303</v>
      </c>
      <c r="D18" s="168" t="s">
        <v>304</v>
      </c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22"/>
      <c r="V18" s="168" t="s">
        <v>33</v>
      </c>
      <c r="W18" s="168">
        <v>2</v>
      </c>
      <c r="X18" s="168"/>
      <c r="Y18" s="121"/>
      <c r="Z18" s="121">
        <v>2</v>
      </c>
      <c r="AA18" s="169" t="s">
        <v>304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108">
        <f t="shared" si="0"/>
        <v>8</v>
      </c>
      <c r="C19" s="167" t="s">
        <v>305</v>
      </c>
      <c r="D19" s="168" t="s">
        <v>306</v>
      </c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22"/>
      <c r="V19" s="168" t="s">
        <v>103</v>
      </c>
      <c r="W19" s="168"/>
      <c r="X19" s="168"/>
      <c r="Y19" s="121"/>
      <c r="Z19" s="121">
        <v>100</v>
      </c>
      <c r="AA19" s="169" t="s">
        <v>306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108">
        <f t="shared" si="0"/>
        <v>9</v>
      </c>
      <c r="C20" s="170" t="s">
        <v>307</v>
      </c>
      <c r="D20" s="171" t="s">
        <v>308</v>
      </c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22"/>
      <c r="V20" s="168" t="s">
        <v>103</v>
      </c>
      <c r="W20" s="168"/>
      <c r="X20" s="168"/>
      <c r="Y20" s="121"/>
      <c r="Z20" s="121">
        <v>200</v>
      </c>
      <c r="AA20" s="172" t="s">
        <v>308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108">
        <f t="shared" si="0"/>
        <v>10</v>
      </c>
      <c r="C21" s="167" t="s">
        <v>104</v>
      </c>
      <c r="D21" s="168" t="s">
        <v>105</v>
      </c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22"/>
      <c r="V21" s="168" t="s">
        <v>106</v>
      </c>
      <c r="W21" s="168">
        <v>10</v>
      </c>
      <c r="X21" s="168">
        <v>5</v>
      </c>
      <c r="Y21" s="121"/>
      <c r="Z21" s="121"/>
      <c r="AA21" s="169" t="s">
        <v>105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108">
        <f t="shared" si="0"/>
        <v>11</v>
      </c>
      <c r="C22" s="167" t="s">
        <v>107</v>
      </c>
      <c r="D22" s="168" t="s">
        <v>108</v>
      </c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22"/>
      <c r="V22" s="168" t="s">
        <v>106</v>
      </c>
      <c r="W22" s="168">
        <v>10</v>
      </c>
      <c r="X22" s="168">
        <v>5</v>
      </c>
      <c r="Y22" s="121"/>
      <c r="Z22" s="121"/>
      <c r="AA22" s="169" t="s">
        <v>108</v>
      </c>
      <c r="AB22" s="40"/>
      <c r="AC22" s="40"/>
      <c r="AD22" s="27"/>
      <c r="AE22" s="27"/>
      <c r="AF22" s="4"/>
      <c r="AG22" s="4"/>
    </row>
    <row r="23" spans="1:33" s="21" customFormat="1">
      <c r="A23" s="25"/>
      <c r="B23" s="108">
        <f t="shared" si="0"/>
        <v>12</v>
      </c>
      <c r="C23" s="167" t="s">
        <v>309</v>
      </c>
      <c r="D23" s="168" t="s">
        <v>310</v>
      </c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22"/>
      <c r="V23" s="168" t="s">
        <v>103</v>
      </c>
      <c r="W23" s="168"/>
      <c r="X23" s="168"/>
      <c r="Y23" s="121"/>
      <c r="Z23" s="121">
        <v>500</v>
      </c>
      <c r="AA23" s="169" t="s">
        <v>310</v>
      </c>
      <c r="AB23" s="40"/>
      <c r="AC23" s="40"/>
      <c r="AD23" s="27"/>
      <c r="AE23" s="27"/>
      <c r="AF23" s="4"/>
      <c r="AG23" s="4"/>
    </row>
    <row r="24" spans="1:33" s="21" customFormat="1">
      <c r="A24" s="25"/>
      <c r="B24" s="108">
        <f t="shared" si="0"/>
        <v>13</v>
      </c>
      <c r="C24" s="167" t="s">
        <v>111</v>
      </c>
      <c r="D24" s="168" t="s">
        <v>311</v>
      </c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22"/>
      <c r="V24" s="168" t="s">
        <v>103</v>
      </c>
      <c r="W24" s="168"/>
      <c r="X24" s="168"/>
      <c r="Y24" s="121"/>
      <c r="Z24" s="121">
        <v>10</v>
      </c>
      <c r="AA24" s="169" t="s">
        <v>311</v>
      </c>
      <c r="AB24" s="40"/>
      <c r="AC24" s="40"/>
      <c r="AD24" s="23"/>
      <c r="AE24" s="23"/>
      <c r="AF24" s="4"/>
      <c r="AG24" s="4"/>
    </row>
    <row r="25" spans="1:33" s="21" customFormat="1">
      <c r="A25" s="25"/>
      <c r="B25" s="108">
        <f t="shared" si="0"/>
        <v>14</v>
      </c>
      <c r="C25" s="170" t="s">
        <v>312</v>
      </c>
      <c r="D25" s="171" t="s">
        <v>313</v>
      </c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3"/>
      <c r="V25" s="171" t="s">
        <v>103</v>
      </c>
      <c r="W25" s="171"/>
      <c r="X25" s="171"/>
      <c r="Y25" s="126"/>
      <c r="Z25" s="126">
        <v>500</v>
      </c>
      <c r="AA25" s="172" t="s">
        <v>313</v>
      </c>
      <c r="AB25" s="40"/>
      <c r="AC25" s="40"/>
      <c r="AD25" s="23"/>
      <c r="AE25" s="23"/>
      <c r="AF25" s="4"/>
      <c r="AG25" s="4"/>
    </row>
    <row r="26" spans="1:33" s="21" customFormat="1">
      <c r="A26" s="25"/>
      <c r="B26" s="108">
        <f t="shared" si="0"/>
        <v>15</v>
      </c>
      <c r="C26" s="170" t="s">
        <v>112</v>
      </c>
      <c r="D26" s="171" t="s">
        <v>113</v>
      </c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22"/>
      <c r="V26" s="168" t="s">
        <v>103</v>
      </c>
      <c r="W26" s="168"/>
      <c r="X26" s="168"/>
      <c r="Y26" s="121"/>
      <c r="Z26" s="121">
        <v>100</v>
      </c>
      <c r="AA26" s="169" t="s">
        <v>113</v>
      </c>
      <c r="AB26" s="40"/>
      <c r="AC26" s="40"/>
      <c r="AD26" s="23"/>
      <c r="AE26" s="23"/>
      <c r="AF26" s="4"/>
      <c r="AG26" s="4"/>
    </row>
    <row r="27" spans="1:33" s="21" customFormat="1">
      <c r="A27" s="25"/>
      <c r="B27" s="108">
        <f t="shared" si="0"/>
        <v>16</v>
      </c>
      <c r="C27" s="170" t="s">
        <v>139</v>
      </c>
      <c r="D27" s="174" t="s">
        <v>140</v>
      </c>
      <c r="E27" s="175"/>
      <c r="F27" s="175"/>
      <c r="G27" s="175"/>
      <c r="H27" s="175"/>
      <c r="I27" s="175"/>
      <c r="J27" s="175"/>
      <c r="K27" s="176"/>
      <c r="L27" s="175"/>
      <c r="M27" s="175"/>
      <c r="N27" s="175"/>
      <c r="O27" s="171"/>
      <c r="P27" s="175"/>
      <c r="Q27" s="175"/>
      <c r="R27" s="175"/>
      <c r="S27" s="174"/>
      <c r="T27" s="175"/>
      <c r="U27" s="175"/>
      <c r="V27" s="175" t="s">
        <v>103</v>
      </c>
      <c r="W27" s="171"/>
      <c r="X27" s="171"/>
      <c r="Y27" s="171"/>
      <c r="Z27" s="121">
        <v>100</v>
      </c>
      <c r="AA27" s="177" t="s">
        <v>140</v>
      </c>
      <c r="AB27" s="40"/>
      <c r="AC27" s="40"/>
      <c r="AD27" s="23"/>
      <c r="AE27" s="23"/>
      <c r="AF27" s="4"/>
      <c r="AG27" s="4"/>
    </row>
    <row r="28" spans="1:33" s="21" customFormat="1">
      <c r="A28" s="25"/>
      <c r="B28" s="108">
        <f t="shared" si="0"/>
        <v>17</v>
      </c>
      <c r="C28" s="170" t="s">
        <v>147</v>
      </c>
      <c r="D28" s="174" t="s">
        <v>148</v>
      </c>
      <c r="E28" s="175"/>
      <c r="F28" s="175"/>
      <c r="G28" s="175"/>
      <c r="H28" s="175"/>
      <c r="I28" s="175"/>
      <c r="J28" s="175"/>
      <c r="K28" s="176"/>
      <c r="L28" s="175"/>
      <c r="M28" s="175"/>
      <c r="N28" s="175"/>
      <c r="O28" s="171"/>
      <c r="P28" s="175"/>
      <c r="Q28" s="175"/>
      <c r="R28" s="175"/>
      <c r="S28" s="174"/>
      <c r="T28" s="175"/>
      <c r="U28" s="175"/>
      <c r="V28" s="175" t="s">
        <v>103</v>
      </c>
      <c r="W28" s="171"/>
      <c r="X28" s="171"/>
      <c r="Y28" s="171"/>
      <c r="Z28" s="126">
        <v>50</v>
      </c>
      <c r="AA28" s="177" t="s">
        <v>148</v>
      </c>
      <c r="AB28" s="40"/>
      <c r="AC28" s="40"/>
      <c r="AD28" s="23"/>
      <c r="AE28" s="23"/>
      <c r="AF28" s="4"/>
      <c r="AG28" s="4"/>
    </row>
    <row r="29" spans="1:33" s="21" customFormat="1">
      <c r="A29" s="25"/>
      <c r="B29" s="108">
        <f t="shared" si="0"/>
        <v>18</v>
      </c>
      <c r="C29" s="170" t="s">
        <v>314</v>
      </c>
      <c r="D29" s="174" t="s">
        <v>315</v>
      </c>
      <c r="E29" s="178"/>
      <c r="F29" s="178"/>
      <c r="G29" s="178"/>
      <c r="H29" s="178"/>
      <c r="I29" s="178"/>
      <c r="J29" s="178"/>
      <c r="K29" s="179"/>
      <c r="L29" s="178"/>
      <c r="M29" s="178"/>
      <c r="N29" s="178"/>
      <c r="O29" s="168"/>
      <c r="P29" s="178"/>
      <c r="Q29" s="178"/>
      <c r="R29" s="178"/>
      <c r="S29" s="180"/>
      <c r="T29" s="178"/>
      <c r="U29" s="178"/>
      <c r="V29" s="178" t="s">
        <v>103</v>
      </c>
      <c r="W29" s="168"/>
      <c r="X29" s="168"/>
      <c r="Y29" s="181"/>
      <c r="Z29" s="121">
        <v>100</v>
      </c>
      <c r="AA29" s="177" t="s">
        <v>315</v>
      </c>
      <c r="AB29" s="40"/>
      <c r="AC29" s="40"/>
      <c r="AD29" s="23"/>
      <c r="AE29" s="23"/>
      <c r="AF29" s="4"/>
      <c r="AG29" s="4"/>
    </row>
    <row r="30" spans="1:33" s="21" customFormat="1">
      <c r="A30" s="25"/>
      <c r="B30" s="108">
        <f t="shared" si="0"/>
        <v>19</v>
      </c>
      <c r="C30" s="170" t="s">
        <v>316</v>
      </c>
      <c r="D30" s="171" t="s">
        <v>317</v>
      </c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22"/>
      <c r="V30" s="168" t="s">
        <v>103</v>
      </c>
      <c r="W30" s="168"/>
      <c r="X30" s="168"/>
      <c r="Y30" s="121"/>
      <c r="Z30" s="121">
        <v>100</v>
      </c>
      <c r="AA30" s="172" t="s">
        <v>318</v>
      </c>
      <c r="AB30" s="40"/>
      <c r="AC30" s="40"/>
      <c r="AD30" s="23"/>
      <c r="AE30" s="23"/>
      <c r="AF30" s="4"/>
      <c r="AG30" s="4"/>
    </row>
    <row r="31" spans="1:33" s="21" customFormat="1">
      <c r="A31" s="25"/>
      <c r="B31" s="108">
        <f t="shared" si="0"/>
        <v>20</v>
      </c>
      <c r="C31" s="167" t="s">
        <v>109</v>
      </c>
      <c r="D31" s="168" t="s">
        <v>110</v>
      </c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22"/>
      <c r="V31" s="168" t="s">
        <v>103</v>
      </c>
      <c r="W31" s="168"/>
      <c r="X31" s="168"/>
      <c r="Y31" s="121"/>
      <c r="Z31" s="121">
        <v>50</v>
      </c>
      <c r="AA31" s="169" t="s">
        <v>110</v>
      </c>
      <c r="AB31" s="40"/>
      <c r="AC31" s="40"/>
      <c r="AD31" s="23"/>
      <c r="AE31" s="23"/>
      <c r="AF31" s="4"/>
      <c r="AG31" s="4"/>
    </row>
    <row r="32" spans="1:33" s="21" customFormat="1">
      <c r="A32" s="25"/>
      <c r="B32" s="108">
        <f t="shared" si="0"/>
        <v>21</v>
      </c>
      <c r="C32" s="170" t="s">
        <v>114</v>
      </c>
      <c r="D32" s="171" t="s">
        <v>115</v>
      </c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22"/>
      <c r="V32" s="168" t="s">
        <v>103</v>
      </c>
      <c r="W32" s="168"/>
      <c r="X32" s="168"/>
      <c r="Y32" s="121"/>
      <c r="Z32" s="121">
        <v>50</v>
      </c>
      <c r="AA32" s="169" t="s">
        <v>115</v>
      </c>
      <c r="AB32" s="40"/>
      <c r="AC32" s="40"/>
      <c r="AD32" s="23"/>
      <c r="AE32" s="23"/>
      <c r="AF32" s="4"/>
      <c r="AG32" s="4"/>
    </row>
    <row r="33" spans="1:33" s="21" customFormat="1">
      <c r="A33" s="25"/>
      <c r="B33" s="108">
        <f t="shared" si="0"/>
        <v>22</v>
      </c>
      <c r="C33" s="167" t="s">
        <v>116</v>
      </c>
      <c r="D33" s="168" t="s">
        <v>117</v>
      </c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22"/>
      <c r="V33" s="168" t="s">
        <v>103</v>
      </c>
      <c r="W33" s="168"/>
      <c r="X33" s="168"/>
      <c r="Y33" s="121"/>
      <c r="Z33" s="121">
        <v>50</v>
      </c>
      <c r="AA33" s="169" t="s">
        <v>117</v>
      </c>
      <c r="AB33" s="40"/>
      <c r="AC33" s="40"/>
      <c r="AD33" s="23"/>
      <c r="AE33" s="23"/>
      <c r="AF33" s="4"/>
      <c r="AG33" s="4"/>
    </row>
    <row r="34" spans="1:33" s="21" customFormat="1">
      <c r="A34" s="25"/>
      <c r="B34" s="108">
        <f t="shared" si="0"/>
        <v>23</v>
      </c>
      <c r="C34" s="167" t="s">
        <v>118</v>
      </c>
      <c r="D34" s="168" t="s">
        <v>119</v>
      </c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22"/>
      <c r="V34" s="168" t="s">
        <v>120</v>
      </c>
      <c r="W34" s="168"/>
      <c r="X34" s="168"/>
      <c r="Y34" s="121"/>
      <c r="Z34" s="121"/>
      <c r="AA34" s="169" t="s">
        <v>119</v>
      </c>
      <c r="AB34" s="40"/>
      <c r="AC34" s="40"/>
      <c r="AD34" s="23"/>
      <c r="AE34" s="23"/>
      <c r="AF34" s="4"/>
      <c r="AG34" s="4"/>
    </row>
    <row r="35" spans="1:33" s="21" customFormat="1">
      <c r="A35" s="25"/>
      <c r="B35" s="108">
        <f t="shared" si="0"/>
        <v>24</v>
      </c>
      <c r="C35" s="167" t="s">
        <v>121</v>
      </c>
      <c r="D35" s="168" t="s">
        <v>122</v>
      </c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22"/>
      <c r="V35" s="168" t="s">
        <v>103</v>
      </c>
      <c r="W35" s="168"/>
      <c r="X35" s="168"/>
      <c r="Y35" s="121"/>
      <c r="Z35" s="121">
        <v>100</v>
      </c>
      <c r="AA35" s="169" t="s">
        <v>122</v>
      </c>
      <c r="AB35" s="40"/>
      <c r="AC35" s="40"/>
      <c r="AD35" s="23"/>
      <c r="AE35" s="23"/>
      <c r="AF35" s="4"/>
      <c r="AG35" s="4"/>
    </row>
    <row r="36" spans="1:33" s="21" customFormat="1">
      <c r="A36" s="25"/>
      <c r="B36" s="108">
        <f t="shared" si="0"/>
        <v>25</v>
      </c>
      <c r="C36" s="167" t="s">
        <v>123</v>
      </c>
      <c r="D36" s="168" t="s">
        <v>365</v>
      </c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22"/>
      <c r="V36" s="168" t="s">
        <v>103</v>
      </c>
      <c r="W36" s="168"/>
      <c r="X36" s="168"/>
      <c r="Y36" s="121"/>
      <c r="Z36" s="121">
        <v>50</v>
      </c>
      <c r="AA36" s="169" t="s">
        <v>124</v>
      </c>
      <c r="AB36" s="40"/>
      <c r="AC36" s="40"/>
      <c r="AD36" s="23"/>
      <c r="AE36" s="23"/>
      <c r="AF36" s="4"/>
      <c r="AG36" s="4"/>
    </row>
    <row r="37" spans="1:33" s="21" customFormat="1">
      <c r="A37" s="25"/>
      <c r="B37" s="108">
        <f t="shared" si="0"/>
        <v>26</v>
      </c>
      <c r="C37" s="170" t="s">
        <v>366</v>
      </c>
      <c r="D37" s="174" t="s">
        <v>321</v>
      </c>
      <c r="E37" s="175"/>
      <c r="F37" s="175"/>
      <c r="G37" s="175"/>
      <c r="H37" s="175"/>
      <c r="I37" s="175"/>
      <c r="J37" s="175"/>
      <c r="K37" s="176"/>
      <c r="L37" s="175"/>
      <c r="M37" s="175"/>
      <c r="N37" s="175"/>
      <c r="O37" s="171"/>
      <c r="P37" s="175"/>
      <c r="Q37" s="175"/>
      <c r="R37" s="175"/>
      <c r="S37" s="174"/>
      <c r="T37" s="175"/>
      <c r="U37" s="175"/>
      <c r="V37" s="175" t="s">
        <v>106</v>
      </c>
      <c r="W37" s="171">
        <v>3</v>
      </c>
      <c r="X37" s="171">
        <v>0</v>
      </c>
      <c r="Y37" s="171"/>
      <c r="Z37" s="182"/>
      <c r="AA37" s="177" t="s">
        <v>321</v>
      </c>
      <c r="AB37" s="40"/>
      <c r="AC37" s="40"/>
      <c r="AD37" s="23"/>
      <c r="AE37" s="23"/>
      <c r="AF37" s="4"/>
      <c r="AG37" s="4"/>
    </row>
    <row r="38" spans="1:33" s="21" customFormat="1">
      <c r="A38" s="25"/>
      <c r="B38" s="108">
        <f t="shared" si="0"/>
        <v>27</v>
      </c>
      <c r="C38" s="170" t="s">
        <v>322</v>
      </c>
      <c r="D38" s="174" t="s">
        <v>323</v>
      </c>
      <c r="E38" s="175"/>
      <c r="F38" s="175"/>
      <c r="G38" s="175"/>
      <c r="H38" s="175"/>
      <c r="I38" s="175"/>
      <c r="J38" s="175"/>
      <c r="K38" s="176"/>
      <c r="L38" s="175"/>
      <c r="M38" s="175"/>
      <c r="N38" s="175"/>
      <c r="O38" s="171"/>
      <c r="P38" s="175"/>
      <c r="Q38" s="175"/>
      <c r="R38" s="175"/>
      <c r="S38" s="174"/>
      <c r="T38" s="175"/>
      <c r="U38" s="175"/>
      <c r="V38" s="175" t="s">
        <v>106</v>
      </c>
      <c r="W38" s="171">
        <v>3</v>
      </c>
      <c r="X38" s="171">
        <v>0</v>
      </c>
      <c r="Y38" s="171"/>
      <c r="Z38" s="182"/>
      <c r="AA38" s="177" t="s">
        <v>323</v>
      </c>
      <c r="AB38" s="40"/>
      <c r="AC38" s="40"/>
      <c r="AD38" s="23"/>
      <c r="AE38" s="23"/>
      <c r="AF38" s="4"/>
      <c r="AG38" s="4"/>
    </row>
    <row r="39" spans="1:33" s="21" customFormat="1">
      <c r="A39" s="25"/>
      <c r="B39" s="108">
        <f t="shared" si="0"/>
        <v>28</v>
      </c>
      <c r="C39" s="167" t="s">
        <v>324</v>
      </c>
      <c r="D39" s="168" t="s">
        <v>325</v>
      </c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22"/>
      <c r="V39" s="168" t="s">
        <v>103</v>
      </c>
      <c r="W39" s="168"/>
      <c r="X39" s="168"/>
      <c r="Y39" s="121"/>
      <c r="Z39" s="121">
        <v>50</v>
      </c>
      <c r="AA39" s="169" t="s">
        <v>325</v>
      </c>
      <c r="AB39" s="40"/>
      <c r="AC39" s="40"/>
      <c r="AD39" s="23"/>
      <c r="AE39" s="23"/>
      <c r="AF39" s="4"/>
      <c r="AG39" s="4"/>
    </row>
    <row r="40" spans="1:33" s="21" customFormat="1">
      <c r="A40" s="25"/>
      <c r="B40" s="108">
        <f t="shared" si="0"/>
        <v>29</v>
      </c>
      <c r="C40" s="170" t="s">
        <v>125</v>
      </c>
      <c r="D40" s="171" t="s">
        <v>126</v>
      </c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3"/>
      <c r="V40" s="171" t="s">
        <v>103</v>
      </c>
      <c r="W40" s="171"/>
      <c r="X40" s="171"/>
      <c r="Y40" s="126"/>
      <c r="Z40" s="126">
        <v>500</v>
      </c>
      <c r="AA40" s="172" t="s">
        <v>126</v>
      </c>
      <c r="AB40" s="40"/>
      <c r="AC40" s="40"/>
      <c r="AD40" s="23"/>
      <c r="AE40" s="23"/>
      <c r="AF40" s="4"/>
      <c r="AG40" s="4"/>
    </row>
    <row r="41" spans="1:33" s="21" customFormat="1">
      <c r="A41" s="25"/>
      <c r="B41" s="108">
        <f t="shared" si="0"/>
        <v>30</v>
      </c>
      <c r="C41" s="170" t="s">
        <v>127</v>
      </c>
      <c r="D41" s="174" t="s">
        <v>128</v>
      </c>
      <c r="E41" s="175"/>
      <c r="F41" s="175"/>
      <c r="G41" s="175"/>
      <c r="H41" s="175"/>
      <c r="I41" s="175"/>
      <c r="J41" s="175"/>
      <c r="K41" s="176"/>
      <c r="L41" s="175"/>
      <c r="M41" s="175"/>
      <c r="N41" s="175"/>
      <c r="O41" s="171"/>
      <c r="P41" s="175"/>
      <c r="Q41" s="175"/>
      <c r="R41" s="175"/>
      <c r="S41" s="174"/>
      <c r="T41" s="175"/>
      <c r="U41" s="175"/>
      <c r="V41" s="175" t="s">
        <v>103</v>
      </c>
      <c r="W41" s="171"/>
      <c r="X41" s="171"/>
      <c r="Y41" s="171"/>
      <c r="Z41" s="126">
        <v>10</v>
      </c>
      <c r="AA41" s="177" t="s">
        <v>128</v>
      </c>
      <c r="AB41" s="40"/>
      <c r="AC41" s="40"/>
      <c r="AD41" s="23"/>
      <c r="AE41" s="23"/>
      <c r="AF41" s="4"/>
      <c r="AG41" s="4"/>
    </row>
    <row r="42" spans="1:33" s="21" customFormat="1">
      <c r="A42" s="25"/>
      <c r="B42" s="108">
        <f t="shared" si="0"/>
        <v>31</v>
      </c>
      <c r="C42" s="170" t="s">
        <v>129</v>
      </c>
      <c r="D42" s="171" t="s">
        <v>130</v>
      </c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3"/>
      <c r="V42" s="171" t="s">
        <v>103</v>
      </c>
      <c r="W42" s="171"/>
      <c r="X42" s="171"/>
      <c r="Y42" s="126"/>
      <c r="Z42" s="126">
        <v>10</v>
      </c>
      <c r="AA42" s="172" t="s">
        <v>130</v>
      </c>
      <c r="AB42" s="40"/>
      <c r="AC42" s="40"/>
      <c r="AD42" s="23"/>
      <c r="AE42" s="23"/>
      <c r="AF42" s="4"/>
      <c r="AG42" s="4"/>
    </row>
    <row r="43" spans="1:33" s="21" customFormat="1">
      <c r="A43" s="25"/>
      <c r="B43" s="108">
        <f t="shared" si="0"/>
        <v>32</v>
      </c>
      <c r="C43" s="170" t="s">
        <v>131</v>
      </c>
      <c r="D43" s="174" t="s">
        <v>132</v>
      </c>
      <c r="E43" s="175"/>
      <c r="F43" s="175"/>
      <c r="G43" s="175"/>
      <c r="H43" s="175"/>
      <c r="I43" s="175"/>
      <c r="J43" s="175"/>
      <c r="K43" s="176"/>
      <c r="L43" s="175"/>
      <c r="M43" s="175"/>
      <c r="N43" s="175"/>
      <c r="O43" s="171"/>
      <c r="P43" s="175"/>
      <c r="Q43" s="175"/>
      <c r="R43" s="175"/>
      <c r="S43" s="174"/>
      <c r="T43" s="175"/>
      <c r="U43" s="175"/>
      <c r="V43" s="175" t="s">
        <v>103</v>
      </c>
      <c r="W43" s="171"/>
      <c r="X43" s="171"/>
      <c r="Y43" s="171"/>
      <c r="Z43" s="126">
        <v>10</v>
      </c>
      <c r="AA43" s="177" t="s">
        <v>132</v>
      </c>
      <c r="AB43" s="40"/>
      <c r="AC43" s="40"/>
      <c r="AD43" s="23"/>
      <c r="AE43" s="23"/>
      <c r="AF43" s="4"/>
      <c r="AG43" s="4"/>
    </row>
    <row r="44" spans="1:33" s="21" customFormat="1">
      <c r="A44" s="25"/>
      <c r="B44" s="108">
        <f t="shared" si="0"/>
        <v>33</v>
      </c>
      <c r="C44" s="170" t="s">
        <v>133</v>
      </c>
      <c r="D44" s="171" t="s">
        <v>134</v>
      </c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3"/>
      <c r="V44" s="171" t="s">
        <v>103</v>
      </c>
      <c r="W44" s="171"/>
      <c r="X44" s="171"/>
      <c r="Y44" s="126"/>
      <c r="Z44" s="126">
        <v>10</v>
      </c>
      <c r="AA44" s="172" t="s">
        <v>134</v>
      </c>
      <c r="AB44" s="40"/>
      <c r="AC44" s="40"/>
      <c r="AD44" s="23"/>
      <c r="AE44" s="23"/>
      <c r="AF44" s="4"/>
      <c r="AG44" s="4"/>
    </row>
    <row r="45" spans="1:33" s="21" customFormat="1">
      <c r="A45" s="25"/>
      <c r="B45" s="108">
        <f t="shared" si="0"/>
        <v>34</v>
      </c>
      <c r="C45" s="170" t="s">
        <v>135</v>
      </c>
      <c r="D45" s="174" t="s">
        <v>136</v>
      </c>
      <c r="E45" s="175"/>
      <c r="F45" s="175"/>
      <c r="G45" s="175"/>
      <c r="H45" s="175"/>
      <c r="I45" s="175"/>
      <c r="J45" s="175"/>
      <c r="K45" s="176"/>
      <c r="L45" s="175"/>
      <c r="M45" s="175"/>
      <c r="N45" s="175"/>
      <c r="O45" s="171"/>
      <c r="P45" s="175"/>
      <c r="Q45" s="175"/>
      <c r="R45" s="175"/>
      <c r="S45" s="174"/>
      <c r="T45" s="175"/>
      <c r="U45" s="175"/>
      <c r="V45" s="175" t="s">
        <v>106</v>
      </c>
      <c r="W45" s="171">
        <v>2</v>
      </c>
      <c r="X45" s="171">
        <v>0</v>
      </c>
      <c r="Y45" s="171"/>
      <c r="Z45" s="182"/>
      <c r="AA45" s="177" t="s">
        <v>136</v>
      </c>
      <c r="AB45" s="40"/>
      <c r="AC45" s="40"/>
      <c r="AD45" s="23"/>
      <c r="AE45" s="23"/>
      <c r="AF45" s="4"/>
      <c r="AG45" s="4"/>
    </row>
    <row r="46" spans="1:33" s="21" customFormat="1">
      <c r="A46" s="25"/>
      <c r="B46" s="108">
        <f t="shared" si="0"/>
        <v>35</v>
      </c>
      <c r="C46" s="170" t="s">
        <v>137</v>
      </c>
      <c r="D46" s="174" t="s">
        <v>138</v>
      </c>
      <c r="E46" s="175"/>
      <c r="F46" s="175"/>
      <c r="G46" s="175"/>
      <c r="H46" s="175"/>
      <c r="I46" s="175"/>
      <c r="J46" s="175"/>
      <c r="K46" s="176"/>
      <c r="L46" s="175"/>
      <c r="M46" s="175"/>
      <c r="N46" s="175"/>
      <c r="O46" s="171"/>
      <c r="P46" s="175"/>
      <c r="Q46" s="175"/>
      <c r="R46" s="175"/>
      <c r="S46" s="174"/>
      <c r="T46" s="175"/>
      <c r="U46" s="175"/>
      <c r="V46" s="175" t="s">
        <v>106</v>
      </c>
      <c r="W46" s="171">
        <v>2</v>
      </c>
      <c r="X46" s="171">
        <v>0</v>
      </c>
      <c r="Y46" s="171"/>
      <c r="Z46" s="182"/>
      <c r="AA46" s="177" t="s">
        <v>138</v>
      </c>
      <c r="AB46" s="40"/>
      <c r="AC46" s="40"/>
      <c r="AD46" s="23"/>
      <c r="AE46" s="23"/>
      <c r="AF46" s="4"/>
      <c r="AG46" s="4"/>
    </row>
    <row r="47" spans="1:33" s="21" customFormat="1">
      <c r="A47" s="25"/>
      <c r="B47" s="108">
        <f t="shared" si="0"/>
        <v>36</v>
      </c>
      <c r="C47" s="170" t="s">
        <v>141</v>
      </c>
      <c r="D47" s="174" t="s">
        <v>142</v>
      </c>
      <c r="E47" s="175"/>
      <c r="F47" s="175"/>
      <c r="G47" s="175"/>
      <c r="H47" s="175"/>
      <c r="I47" s="175"/>
      <c r="J47" s="175"/>
      <c r="K47" s="176"/>
      <c r="L47" s="175"/>
      <c r="M47" s="175"/>
      <c r="N47" s="175"/>
      <c r="O47" s="171"/>
      <c r="P47" s="175"/>
      <c r="Q47" s="175"/>
      <c r="R47" s="175"/>
      <c r="S47" s="174"/>
      <c r="T47" s="175"/>
      <c r="U47" s="175"/>
      <c r="V47" s="175" t="s">
        <v>120</v>
      </c>
      <c r="W47" s="171"/>
      <c r="X47" s="171"/>
      <c r="Y47" s="171"/>
      <c r="Z47" s="182"/>
      <c r="AA47" s="177" t="s">
        <v>142</v>
      </c>
      <c r="AB47" s="40"/>
      <c r="AC47" s="40"/>
      <c r="AD47" s="23"/>
      <c r="AE47" s="23"/>
      <c r="AF47" s="4"/>
      <c r="AG47" s="4"/>
    </row>
    <row r="48" spans="1:33" s="21" customFormat="1">
      <c r="A48" s="25"/>
      <c r="B48" s="108">
        <f t="shared" si="0"/>
        <v>37</v>
      </c>
      <c r="C48" s="170" t="s">
        <v>143</v>
      </c>
      <c r="D48" s="174" t="s">
        <v>144</v>
      </c>
      <c r="E48" s="175"/>
      <c r="F48" s="175"/>
      <c r="G48" s="175"/>
      <c r="H48" s="175"/>
      <c r="I48" s="175"/>
      <c r="J48" s="175"/>
      <c r="K48" s="176"/>
      <c r="L48" s="175"/>
      <c r="M48" s="175"/>
      <c r="N48" s="175"/>
      <c r="O48" s="171"/>
      <c r="P48" s="175"/>
      <c r="Q48" s="175"/>
      <c r="R48" s="175"/>
      <c r="S48" s="174"/>
      <c r="T48" s="175"/>
      <c r="U48" s="175"/>
      <c r="V48" s="175" t="s">
        <v>106</v>
      </c>
      <c r="W48" s="171">
        <v>1</v>
      </c>
      <c r="X48" s="171">
        <v>0</v>
      </c>
      <c r="Y48" s="171"/>
      <c r="Z48" s="182"/>
      <c r="AA48" s="177" t="s">
        <v>144</v>
      </c>
      <c r="AB48" s="40"/>
      <c r="AC48" s="40"/>
      <c r="AD48" s="23"/>
      <c r="AE48" s="23"/>
      <c r="AF48" s="4"/>
      <c r="AG48" s="4"/>
    </row>
    <row r="49" spans="1:33" s="21" customFormat="1">
      <c r="A49" s="25"/>
      <c r="B49" s="108">
        <f t="shared" si="0"/>
        <v>38</v>
      </c>
      <c r="C49" s="170" t="s">
        <v>145</v>
      </c>
      <c r="D49" s="174" t="s">
        <v>146</v>
      </c>
      <c r="E49" s="175"/>
      <c r="F49" s="175"/>
      <c r="G49" s="175"/>
      <c r="H49" s="175"/>
      <c r="I49" s="175"/>
      <c r="J49" s="175"/>
      <c r="K49" s="176"/>
      <c r="L49" s="175"/>
      <c r="M49" s="175"/>
      <c r="N49" s="175"/>
      <c r="O49" s="171"/>
      <c r="P49" s="175"/>
      <c r="Q49" s="175"/>
      <c r="R49" s="175"/>
      <c r="S49" s="174"/>
      <c r="T49" s="175"/>
      <c r="U49" s="175"/>
      <c r="V49" s="175" t="s">
        <v>106</v>
      </c>
      <c r="W49" s="171">
        <v>2</v>
      </c>
      <c r="X49" s="171">
        <v>0</v>
      </c>
      <c r="Y49" s="171"/>
      <c r="Z49" s="182"/>
      <c r="AA49" s="177" t="s">
        <v>146</v>
      </c>
      <c r="AB49" s="40"/>
      <c r="AC49" s="40"/>
      <c r="AD49" s="23"/>
      <c r="AE49" s="23"/>
      <c r="AF49" s="4"/>
      <c r="AG49" s="4"/>
    </row>
    <row r="50" spans="1:33" s="21" customFormat="1">
      <c r="A50" s="25"/>
      <c r="B50" s="108">
        <f t="shared" si="0"/>
        <v>39</v>
      </c>
      <c r="C50" s="170" t="s">
        <v>149</v>
      </c>
      <c r="D50" s="174" t="s">
        <v>150</v>
      </c>
      <c r="E50" s="175"/>
      <c r="F50" s="175"/>
      <c r="G50" s="175"/>
      <c r="H50" s="175"/>
      <c r="I50" s="175"/>
      <c r="J50" s="175"/>
      <c r="K50" s="176"/>
      <c r="L50" s="175"/>
      <c r="M50" s="175"/>
      <c r="N50" s="175"/>
      <c r="O50" s="171"/>
      <c r="P50" s="175"/>
      <c r="Q50" s="175"/>
      <c r="R50" s="175"/>
      <c r="S50" s="174"/>
      <c r="T50" s="175"/>
      <c r="U50" s="175"/>
      <c r="V50" s="175" t="s">
        <v>120</v>
      </c>
      <c r="W50" s="171"/>
      <c r="X50" s="171"/>
      <c r="Y50" s="171"/>
      <c r="Z50" s="182"/>
      <c r="AA50" s="177" t="s">
        <v>150</v>
      </c>
      <c r="AB50" s="40"/>
      <c r="AC50" s="40"/>
      <c r="AD50" s="23"/>
      <c r="AE50" s="23"/>
      <c r="AF50" s="4"/>
      <c r="AG50" s="4"/>
    </row>
    <row r="51" spans="1:33" s="21" customFormat="1">
      <c r="A51" s="25"/>
      <c r="B51" s="108">
        <f t="shared" si="0"/>
        <v>40</v>
      </c>
      <c r="C51" s="170" t="s">
        <v>151</v>
      </c>
      <c r="D51" s="174" t="s">
        <v>152</v>
      </c>
      <c r="E51" s="175"/>
      <c r="F51" s="175"/>
      <c r="G51" s="175"/>
      <c r="H51" s="175"/>
      <c r="I51" s="175"/>
      <c r="J51" s="175"/>
      <c r="K51" s="176"/>
      <c r="L51" s="175"/>
      <c r="M51" s="175"/>
      <c r="N51" s="175"/>
      <c r="O51" s="171"/>
      <c r="P51" s="175"/>
      <c r="Q51" s="175"/>
      <c r="R51" s="175"/>
      <c r="S51" s="174"/>
      <c r="T51" s="175"/>
      <c r="U51" s="175"/>
      <c r="V51" s="175" t="s">
        <v>106</v>
      </c>
      <c r="W51" s="171">
        <v>1</v>
      </c>
      <c r="X51" s="171">
        <v>0</v>
      </c>
      <c r="Y51" s="171"/>
      <c r="Z51" s="182"/>
      <c r="AA51" s="177" t="s">
        <v>152</v>
      </c>
      <c r="AB51" s="40"/>
      <c r="AC51" s="40"/>
      <c r="AD51" s="23"/>
      <c r="AE51" s="23"/>
      <c r="AF51" s="4"/>
      <c r="AG51" s="4"/>
    </row>
    <row r="52" spans="1:33" s="21" customFormat="1">
      <c r="A52" s="25"/>
      <c r="B52" s="108">
        <f t="shared" si="0"/>
        <v>41</v>
      </c>
      <c r="C52" s="170" t="s">
        <v>68</v>
      </c>
      <c r="D52" s="174" t="s">
        <v>87</v>
      </c>
      <c r="E52" s="175"/>
      <c r="F52" s="175"/>
      <c r="G52" s="175"/>
      <c r="H52" s="175"/>
      <c r="I52" s="175"/>
      <c r="J52" s="175"/>
      <c r="K52" s="176"/>
      <c r="L52" s="175"/>
      <c r="M52" s="175"/>
      <c r="N52" s="175"/>
      <c r="O52" s="171"/>
      <c r="P52" s="175"/>
      <c r="Q52" s="175"/>
      <c r="R52" s="175"/>
      <c r="S52" s="174"/>
      <c r="T52" s="175"/>
      <c r="U52" s="183" t="s">
        <v>27</v>
      </c>
      <c r="V52" s="175" t="s">
        <v>28</v>
      </c>
      <c r="W52" s="171">
        <v>1</v>
      </c>
      <c r="X52" s="171"/>
      <c r="Y52" s="171"/>
      <c r="Z52" s="182"/>
      <c r="AA52" s="177" t="s">
        <v>87</v>
      </c>
      <c r="AB52" s="40"/>
      <c r="AC52" s="40"/>
      <c r="AD52" s="23"/>
      <c r="AE52" s="23"/>
      <c r="AF52" s="4"/>
      <c r="AG52" s="4"/>
    </row>
    <row r="53" spans="1:33" s="21" customFormat="1">
      <c r="A53" s="25"/>
      <c r="B53" s="108">
        <f t="shared" si="0"/>
        <v>42</v>
      </c>
      <c r="C53" s="170" t="s">
        <v>69</v>
      </c>
      <c r="D53" s="174" t="s">
        <v>88</v>
      </c>
      <c r="E53" s="175"/>
      <c r="F53" s="175"/>
      <c r="G53" s="175"/>
      <c r="H53" s="175"/>
      <c r="I53" s="175"/>
      <c r="J53" s="175"/>
      <c r="K53" s="176"/>
      <c r="L53" s="175"/>
      <c r="M53" s="175"/>
      <c r="N53" s="175"/>
      <c r="O53" s="171"/>
      <c r="P53" s="175"/>
      <c r="Q53" s="175"/>
      <c r="R53" s="175"/>
      <c r="S53" s="174"/>
      <c r="T53" s="175"/>
      <c r="U53" s="183" t="s">
        <v>27</v>
      </c>
      <c r="V53" s="175" t="s">
        <v>29</v>
      </c>
      <c r="W53" s="171"/>
      <c r="X53" s="171"/>
      <c r="Y53" s="171"/>
      <c r="Z53" s="182"/>
      <c r="AA53" s="177" t="s">
        <v>88</v>
      </c>
      <c r="AB53" s="40"/>
      <c r="AC53" s="40"/>
      <c r="AD53" s="23"/>
      <c r="AE53" s="23"/>
      <c r="AF53" s="4"/>
      <c r="AG53" s="4"/>
    </row>
    <row r="54" spans="1:33" s="21" customFormat="1">
      <c r="A54" s="25"/>
      <c r="B54" s="108">
        <f t="shared" si="0"/>
        <v>43</v>
      </c>
      <c r="C54" s="170" t="s">
        <v>70</v>
      </c>
      <c r="D54" s="174" t="s">
        <v>89</v>
      </c>
      <c r="E54" s="175"/>
      <c r="F54" s="175"/>
      <c r="G54" s="175"/>
      <c r="H54" s="175"/>
      <c r="I54" s="175"/>
      <c r="J54" s="175"/>
      <c r="K54" s="176"/>
      <c r="L54" s="175"/>
      <c r="M54" s="175"/>
      <c r="N54" s="175"/>
      <c r="O54" s="171"/>
      <c r="P54" s="175"/>
      <c r="Q54" s="175"/>
      <c r="R54" s="175"/>
      <c r="S54" s="174"/>
      <c r="T54" s="175"/>
      <c r="U54" s="183" t="s">
        <v>27</v>
      </c>
      <c r="V54" s="175" t="s">
        <v>33</v>
      </c>
      <c r="W54" s="171">
        <v>20</v>
      </c>
      <c r="X54" s="171"/>
      <c r="Y54" s="171"/>
      <c r="Z54" s="182">
        <v>15</v>
      </c>
      <c r="AA54" s="177" t="s">
        <v>89</v>
      </c>
      <c r="AB54" s="40"/>
      <c r="AC54" s="40"/>
      <c r="AD54" s="23"/>
      <c r="AE54" s="23"/>
      <c r="AF54" s="4"/>
      <c r="AG54" s="4"/>
    </row>
    <row r="55" spans="1:33" s="21" customFormat="1">
      <c r="A55" s="25"/>
      <c r="B55" s="108">
        <f t="shared" si="0"/>
        <v>44</v>
      </c>
      <c r="C55" s="170" t="s">
        <v>71</v>
      </c>
      <c r="D55" s="174" t="s">
        <v>90</v>
      </c>
      <c r="E55" s="175"/>
      <c r="F55" s="175"/>
      <c r="G55" s="175"/>
      <c r="H55" s="175"/>
      <c r="I55" s="175"/>
      <c r="J55" s="175"/>
      <c r="K55" s="176"/>
      <c r="L55" s="175"/>
      <c r="M55" s="175"/>
      <c r="N55" s="175"/>
      <c r="O55" s="171"/>
      <c r="P55" s="175"/>
      <c r="Q55" s="175"/>
      <c r="R55" s="175"/>
      <c r="S55" s="174"/>
      <c r="T55" s="175"/>
      <c r="U55" s="183" t="s">
        <v>27</v>
      </c>
      <c r="V55" s="175" t="s">
        <v>29</v>
      </c>
      <c r="W55" s="171"/>
      <c r="X55" s="171"/>
      <c r="Y55" s="171"/>
      <c r="Z55" s="182"/>
      <c r="AA55" s="177" t="s">
        <v>90</v>
      </c>
      <c r="AB55" s="40"/>
      <c r="AC55" s="40"/>
      <c r="AD55" s="23"/>
      <c r="AE55" s="23"/>
      <c r="AF55" s="4"/>
      <c r="AG55" s="4"/>
    </row>
    <row r="56" spans="1:33" s="21" customFormat="1">
      <c r="A56" s="25"/>
      <c r="B56" s="108">
        <f t="shared" si="0"/>
        <v>45</v>
      </c>
      <c r="C56" s="170" t="s">
        <v>72</v>
      </c>
      <c r="D56" s="174" t="s">
        <v>91</v>
      </c>
      <c r="E56" s="175"/>
      <c r="F56" s="175"/>
      <c r="G56" s="175"/>
      <c r="H56" s="175"/>
      <c r="I56" s="175"/>
      <c r="J56" s="175"/>
      <c r="K56" s="176"/>
      <c r="L56" s="175"/>
      <c r="M56" s="175"/>
      <c r="N56" s="175"/>
      <c r="O56" s="171"/>
      <c r="P56" s="175"/>
      <c r="Q56" s="175"/>
      <c r="R56" s="175"/>
      <c r="S56" s="174"/>
      <c r="T56" s="175"/>
      <c r="U56" s="183" t="s">
        <v>27</v>
      </c>
      <c r="V56" s="175" t="s">
        <v>33</v>
      </c>
      <c r="W56" s="171">
        <v>20</v>
      </c>
      <c r="X56" s="171"/>
      <c r="Y56" s="171"/>
      <c r="Z56" s="182">
        <v>15</v>
      </c>
      <c r="AA56" s="177" t="s">
        <v>91</v>
      </c>
      <c r="AB56" s="40"/>
      <c r="AC56" s="40"/>
      <c r="AD56" s="23"/>
      <c r="AE56" s="23"/>
      <c r="AF56" s="4"/>
      <c r="AG56" s="4"/>
    </row>
    <row r="57" spans="1:33" s="21" customFormat="1">
      <c r="A57" s="25"/>
      <c r="B57" s="108">
        <f t="shared" si="0"/>
        <v>46</v>
      </c>
      <c r="C57" s="170" t="s">
        <v>73</v>
      </c>
      <c r="D57" s="174" t="s">
        <v>78</v>
      </c>
      <c r="E57" s="175"/>
      <c r="F57" s="175"/>
      <c r="G57" s="175"/>
      <c r="H57" s="175"/>
      <c r="I57" s="175"/>
      <c r="J57" s="175"/>
      <c r="K57" s="176"/>
      <c r="L57" s="175"/>
      <c r="M57" s="175"/>
      <c r="N57" s="175"/>
      <c r="O57" s="171"/>
      <c r="P57" s="175"/>
      <c r="Q57" s="175"/>
      <c r="R57" s="175"/>
      <c r="S57" s="174"/>
      <c r="T57" s="175"/>
      <c r="U57" s="183" t="s">
        <v>27</v>
      </c>
      <c r="V57" s="175" t="s">
        <v>74</v>
      </c>
      <c r="W57" s="171"/>
      <c r="X57" s="171"/>
      <c r="Y57" s="171"/>
      <c r="Z57" s="182"/>
      <c r="AA57" s="177" t="s">
        <v>78</v>
      </c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71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26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58:AC114 B12:B15 AB12:AC24 B21:B24 B26:B57 AB26:AC57">
    <cfRule type="expression" dxfId="473" priority="29">
      <formula>NOT(ISBLANK(INDIRECT("RC28",FALSE)))</formula>
    </cfRule>
  </conditionalFormatting>
  <conditionalFormatting sqref="C58:AC114 AB12:AC24 AB26:AC57">
    <cfRule type="expression" dxfId="472" priority="28" stopIfTrue="1">
      <formula>AND(ISBLANK(INDIRECT("RC2",FALSE)),NOT(ISBLANK(INDIRECT("RC3",FALSE))))</formula>
    </cfRule>
  </conditionalFormatting>
  <conditionalFormatting sqref="B25 AB25:AC25">
    <cfRule type="expression" dxfId="471" priority="27">
      <formula>NOT(ISBLANK(INDIRECT("RC28",FALSE)))</formula>
    </cfRule>
  </conditionalFormatting>
  <conditionalFormatting sqref="AB25:AC25">
    <cfRule type="expression" dxfId="470" priority="26" stopIfTrue="1">
      <formula>AND(ISBLANK(INDIRECT("RC2",FALSE)),NOT(ISBLANK(INDIRECT("RC3",FALSE))))</formula>
    </cfRule>
  </conditionalFormatting>
  <conditionalFormatting sqref="C12:AA12 E13:AA13 C14:AA14">
    <cfRule type="expression" dxfId="469" priority="22">
      <formula>NOT(ISBLANK(INDIRECT("RC28",FALSE)))</formula>
    </cfRule>
  </conditionalFormatting>
  <conditionalFormatting sqref="C12:AA12 E13:AA13 C14:AA14">
    <cfRule type="expression" dxfId="468" priority="23" stopIfTrue="1">
      <formula>AND(ISBLANK(INDIRECT("RC2",FALSE)),NOT(ISBLANK(INDIRECT("RC3",FALSE))))</formula>
    </cfRule>
  </conditionalFormatting>
  <conditionalFormatting sqref="C13:D13">
    <cfRule type="expression" dxfId="467" priority="24" stopIfTrue="1">
      <formula>AND(ISBLANK(INDIRECT("RC2",FALSE)),NOT(ISBLANK(INDIRECT("RC3",FALSE))))</formula>
    </cfRule>
  </conditionalFormatting>
  <conditionalFormatting sqref="C13:D13">
    <cfRule type="expression" dxfId="466" priority="25">
      <formula>NOT(ISBLANK(INDIRECT("RC28",FALSE)))</formula>
    </cfRule>
  </conditionalFormatting>
  <conditionalFormatting sqref="B16:B20">
    <cfRule type="expression" dxfId="465" priority="21">
      <formula>NOT(ISBLANK(INDIRECT("RC28",FALSE)))</formula>
    </cfRule>
  </conditionalFormatting>
  <conditionalFormatting sqref="C15:AA57">
    <cfRule type="expression" dxfId="464" priority="3">
      <formula>NOT(ISBLANK(INDIRECT("RC28",FALSE)))</formula>
    </cfRule>
  </conditionalFormatting>
  <conditionalFormatting sqref="C15:AA57">
    <cfRule type="expression" dxfId="463" priority="4" stopIfTrue="1">
      <formula>AND(ISBLANK(INDIRECT("RC2",FALSE)),NOT(ISBLANK(INDIRECT("RC3",FALSE))))</formula>
    </cfRule>
  </conditionalFormatting>
  <conditionalFormatting sqref="C15:D15">
    <cfRule type="expression" dxfId="462" priority="5" stopIfTrue="1">
      <formula>AND(ISBLANK(INDIRECT("RC2",FALSE)),NOT(ISBLANK(INDIRECT("RC3",FALSE))))</formula>
    </cfRule>
  </conditionalFormatting>
  <conditionalFormatting sqref="C15:D15">
    <cfRule type="expression" dxfId="461" priority="6">
      <formula>NOT(ISBLANK(INDIRECT("RC28",FALSE)))</formula>
    </cfRule>
  </conditionalFormatting>
  <conditionalFormatting sqref="C16:D16 AA16 C21:D21 C27:D27">
    <cfRule type="expression" dxfId="460" priority="7" stopIfTrue="1">
      <formula>AND(ISBLANK(INDIRECT("RC2",FALSE)),NOT(ISBLANK(INDIRECT("RC3",FALSE))))</formula>
    </cfRule>
  </conditionalFormatting>
  <conditionalFormatting sqref="C16:D16 AA16 C21:D21 C27:D27">
    <cfRule type="expression" dxfId="459" priority="8">
      <formula>NOT(ISBLANK(INDIRECT("RC28",FALSE)))</formula>
    </cfRule>
  </conditionalFormatting>
  <conditionalFormatting sqref="E21:AA22 C22:D22 E33:AA38 C34:D34 C36:D38">
    <cfRule type="expression" dxfId="458" priority="9">
      <formula>NOT(ISBLANK(INDIRECT("RC28",FALSE)))</formula>
    </cfRule>
  </conditionalFormatting>
  <conditionalFormatting sqref="E21:AA22 C22:D22 E33:AA38 C34:D34 C36:D38">
    <cfRule type="expression" dxfId="457" priority="10" stopIfTrue="1">
      <formula>AND(ISBLANK(INDIRECT("RC2",FALSE)),NOT(ISBLANK(INDIRECT("RC3",FALSE))))</formula>
    </cfRule>
  </conditionalFormatting>
  <conditionalFormatting sqref="C21:D21 C33:D33 C35:D35">
    <cfRule type="expression" dxfId="456" priority="11" stopIfTrue="1">
      <formula>AND(ISBLANK(INDIRECT("RC2",FALSE)),NOT(ISBLANK(INDIRECT("RC3",FALSE))))</formula>
    </cfRule>
  </conditionalFormatting>
  <conditionalFormatting sqref="C21:D21 C33:D33 C35:D35">
    <cfRule type="expression" dxfId="455" priority="12">
      <formula>NOT(ISBLANK(INDIRECT("RC28",FALSE)))</formula>
    </cfRule>
  </conditionalFormatting>
  <conditionalFormatting sqref="C22:D22 C34:D34 C36:D38">
    <cfRule type="expression" dxfId="454" priority="13" stopIfTrue="1">
      <formula>AND(ISBLANK(INDIRECT("RC2",FALSE)),NOT(ISBLANK(INDIRECT("RC3",FALSE))))</formula>
    </cfRule>
  </conditionalFormatting>
  <conditionalFormatting sqref="C22:D22 C34:D34 C36:D38">
    <cfRule type="expression" dxfId="453" priority="14">
      <formula>NOT(ISBLANK(INDIRECT("RC28",FALSE)))</formula>
    </cfRule>
  </conditionalFormatting>
  <conditionalFormatting sqref="C30:D30 E26:AA26 C32:D32 E32:AA34 C34:D34">
    <cfRule type="expression" dxfId="452" priority="15">
      <formula>NOT(ISBLANK(INDIRECT("RC28",FALSE)))</formula>
    </cfRule>
  </conditionalFormatting>
  <conditionalFormatting sqref="C30:D30 E26:AA26 C32:D32 E32:AA34 C34:D34">
    <cfRule type="expression" dxfId="451" priority="16" stopIfTrue="1">
      <formula>AND(ISBLANK(INDIRECT("RC2",FALSE)),NOT(ISBLANK(INDIRECT("RC3",FALSE))))</formula>
    </cfRule>
  </conditionalFormatting>
  <conditionalFormatting sqref="C20:D20 AA20 C26:D26 C33:D33">
    <cfRule type="expression" dxfId="450" priority="17" stopIfTrue="1">
      <formula>AND(ISBLANK(INDIRECT("RC2",FALSE)),NOT(ISBLANK(INDIRECT("RC3",FALSE))))</formula>
    </cfRule>
  </conditionalFormatting>
  <conditionalFormatting sqref="C20:D20 AA20 C26:D26 C33:D33">
    <cfRule type="expression" dxfId="449" priority="18">
      <formula>NOT(ISBLANK(INDIRECT("RC28",FALSE)))</formula>
    </cfRule>
  </conditionalFormatting>
  <conditionalFormatting sqref="C30:D30 AA30 C32:D32 C34:D34">
    <cfRule type="expression" dxfId="448" priority="19" stopIfTrue="1">
      <formula>AND(ISBLANK(INDIRECT("RC2",FALSE)),NOT(ISBLANK(INDIRECT("RC3",FALSE))))</formula>
    </cfRule>
  </conditionalFormatting>
  <conditionalFormatting sqref="C30:D30 AA30 C32:D32 C34:D34">
    <cfRule type="expression" dxfId="447" priority="20">
      <formula>NOT(ISBLANK(INDIRECT("RC28",FALSE)))</formula>
    </cfRule>
  </conditionalFormatting>
  <conditionalFormatting sqref="Z27">
    <cfRule type="expression" dxfId="446" priority="1">
      <formula>NOT(ISBLANK(INDIRECT("RC28",FALSE)))</formula>
    </cfRule>
  </conditionalFormatting>
  <conditionalFormatting sqref="Z27">
    <cfRule type="expression" dxfId="445" priority="2" stopIfTrue="1">
      <formula>AND(ISBLANK(INDIRECT("RC2",FALSE)),NOT(ISBLANK(INDIRECT("RC3",FALSE))))</formula>
    </cfRule>
  </conditionalFormatting>
  <dataValidations count="6">
    <dataValidation type="list" allowBlank="1" showErrorMessage="1" sqref="V12:V57" xr:uid="{00000000-0002-0000-0600-000000000000}">
      <formula1>"TEXT,VARCHAR,CHAR,NUMERIC,integer,boolean,bytea,DATE(時刻無),TIMESTAMP"</formula1>
    </dataValidation>
    <dataValidation type="list" allowBlank="1" showErrorMessage="1" sqref="U12:U57" xr:uid="{00000000-0002-0000-0600-000001000000}">
      <formula1>"○"</formula1>
    </dataValidation>
    <dataValidation type="list" allowBlank="1" showInputMessage="1" showErrorMessage="1" sqref="AB12:AB114 J5:T5 U58:U114" xr:uid="{00000000-0002-0000-0600-000002000000}">
      <formula1>"○"</formula1>
    </dataValidation>
    <dataValidation type="list" allowBlank="1" showInputMessage="1" showErrorMessage="1" sqref="V58:V114" xr:uid="{00000000-0002-0000-0600-000003000000}">
      <formula1>"TEXT,VARCHAR,CHAR,NUMERIC,integer,boolean,bytea,DATE(時刻無),TIMESTAMP"</formula1>
    </dataValidation>
    <dataValidation type="list" allowBlank="1" showInputMessage="1" showErrorMessage="1" sqref="AC12:AC114" xr:uid="{00000000-0002-0000-0600-000004000000}">
      <formula1>"親,子"</formula1>
    </dataValidation>
    <dataValidation type="list" allowBlank="1" showInputMessage="1" showErrorMessage="1" sqref="F11:T11" xr:uid="{00000000-0002-0000-0600-000005000000}">
      <formula1>"IN,uIN,BR,uBR"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8FA24-310F-426D-98B9-69E6578C3A75}">
  <sheetPr codeName="Sheet33">
    <tabColor rgb="FFFF0000"/>
    <pageSetUpPr fitToPage="1"/>
  </sheetPr>
  <dimension ref="A1:AG193"/>
  <sheetViews>
    <sheetView showGridLines="0" topLeftCell="C3" zoomScale="85" zoomScaleNormal="85" zoomScaleSheetLayoutView="100" workbookViewId="0">
      <selection activeCell="D3" sqref="D3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522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520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181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2000000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255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108">
        <f t="shared" ref="B12:B75" si="0">ROW()-11</f>
        <v>1</v>
      </c>
      <c r="C12" s="159" t="s">
        <v>524</v>
      </c>
      <c r="D12" s="95" t="s">
        <v>184</v>
      </c>
      <c r="E12" s="95">
        <v>1</v>
      </c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4" t="s">
        <v>27</v>
      </c>
      <c r="V12" s="95" t="s">
        <v>28</v>
      </c>
      <c r="W12" s="95">
        <v>10</v>
      </c>
      <c r="X12" s="95"/>
      <c r="Y12" s="160"/>
      <c r="Z12" s="160"/>
      <c r="AA12" s="161" t="s">
        <v>184</v>
      </c>
      <c r="AB12" s="40"/>
      <c r="AC12" s="40"/>
      <c r="AD12" s="27"/>
      <c r="AE12" s="27"/>
      <c r="AG12" s="4"/>
    </row>
    <row r="13" spans="1:33" s="21" customFormat="1">
      <c r="A13" s="25"/>
      <c r="B13" s="108">
        <f t="shared" si="0"/>
        <v>2</v>
      </c>
      <c r="C13" s="162" t="s">
        <v>299</v>
      </c>
      <c r="D13" s="163" t="s">
        <v>300</v>
      </c>
      <c r="E13" s="107">
        <v>2</v>
      </c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64" t="s">
        <v>27</v>
      </c>
      <c r="V13" s="107" t="s">
        <v>74</v>
      </c>
      <c r="W13" s="107"/>
      <c r="X13" s="107"/>
      <c r="Y13" s="104"/>
      <c r="Z13" s="104"/>
      <c r="AA13" s="165" t="s">
        <v>300</v>
      </c>
      <c r="AB13" s="40"/>
      <c r="AC13" s="40"/>
      <c r="AD13" s="42" t="s">
        <v>296</v>
      </c>
      <c r="AE13" s="33" t="s">
        <v>53</v>
      </c>
      <c r="AG13" s="4"/>
    </row>
    <row r="14" spans="1:33" s="21" customFormat="1">
      <c r="A14" s="25"/>
      <c r="B14" s="108">
        <f t="shared" si="0"/>
        <v>3</v>
      </c>
      <c r="C14" s="166" t="s">
        <v>97</v>
      </c>
      <c r="D14" s="107" t="s">
        <v>98</v>
      </c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64"/>
      <c r="V14" s="107" t="s">
        <v>33</v>
      </c>
      <c r="W14" s="107">
        <v>50</v>
      </c>
      <c r="X14" s="107"/>
      <c r="Y14" s="104"/>
      <c r="Z14" s="104">
        <v>30</v>
      </c>
      <c r="AA14" s="165" t="s">
        <v>98</v>
      </c>
      <c r="AB14" s="40"/>
      <c r="AC14" s="40"/>
      <c r="AD14" s="27"/>
      <c r="AE14" s="33" t="s">
        <v>75</v>
      </c>
      <c r="AF14" s="4"/>
      <c r="AG14" s="4"/>
    </row>
    <row r="15" spans="1:33" s="21" customFormat="1">
      <c r="A15" s="25"/>
      <c r="B15" s="108">
        <f t="shared" si="0"/>
        <v>4</v>
      </c>
      <c r="C15" s="167" t="s">
        <v>99</v>
      </c>
      <c r="D15" s="168" t="s">
        <v>100</v>
      </c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22"/>
      <c r="V15" s="168" t="s">
        <v>33</v>
      </c>
      <c r="W15" s="168">
        <v>100</v>
      </c>
      <c r="X15" s="168"/>
      <c r="Y15" s="121"/>
      <c r="Z15" s="121">
        <v>60</v>
      </c>
      <c r="AA15" s="169" t="s">
        <v>100</v>
      </c>
      <c r="AB15" s="40"/>
      <c r="AC15" s="40"/>
      <c r="AD15" s="27"/>
      <c r="AE15" s="33" t="s">
        <v>76</v>
      </c>
      <c r="AF15" s="4"/>
      <c r="AG15" s="4"/>
    </row>
    <row r="16" spans="1:33" s="21" customFormat="1">
      <c r="A16" s="25"/>
      <c r="B16" s="108">
        <f t="shared" si="0"/>
        <v>5</v>
      </c>
      <c r="C16" s="167" t="s">
        <v>101</v>
      </c>
      <c r="D16" s="168" t="s">
        <v>102</v>
      </c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22"/>
      <c r="V16" s="168" t="s">
        <v>33</v>
      </c>
      <c r="W16" s="168">
        <v>50</v>
      </c>
      <c r="X16" s="168"/>
      <c r="Y16" s="121"/>
      <c r="Z16" s="121">
        <v>30</v>
      </c>
      <c r="AA16" s="169" t="s">
        <v>102</v>
      </c>
      <c r="AB16" s="40"/>
      <c r="AC16" s="40"/>
      <c r="AD16" s="23"/>
      <c r="AE16" s="33" t="s">
        <v>297</v>
      </c>
      <c r="AF16" s="4"/>
      <c r="AG16" s="4"/>
    </row>
    <row r="17" spans="1:33" s="21" customFormat="1">
      <c r="A17" s="25"/>
      <c r="B17" s="108">
        <f t="shared" si="0"/>
        <v>6</v>
      </c>
      <c r="C17" s="167" t="s">
        <v>301</v>
      </c>
      <c r="D17" s="168" t="s">
        <v>302</v>
      </c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22"/>
      <c r="V17" s="168" t="s">
        <v>33</v>
      </c>
      <c r="W17" s="168">
        <v>4</v>
      </c>
      <c r="X17" s="168"/>
      <c r="Y17" s="121"/>
      <c r="Z17" s="121">
        <v>4</v>
      </c>
      <c r="AA17" s="169" t="s">
        <v>302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108">
        <f t="shared" si="0"/>
        <v>7</v>
      </c>
      <c r="C18" s="167" t="s">
        <v>303</v>
      </c>
      <c r="D18" s="168" t="s">
        <v>304</v>
      </c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22"/>
      <c r="V18" s="168" t="s">
        <v>33</v>
      </c>
      <c r="W18" s="168">
        <v>2</v>
      </c>
      <c r="X18" s="168"/>
      <c r="Y18" s="121"/>
      <c r="Z18" s="121">
        <v>2</v>
      </c>
      <c r="AA18" s="169" t="s">
        <v>304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108">
        <f t="shared" si="0"/>
        <v>8</v>
      </c>
      <c r="C19" s="167" t="s">
        <v>305</v>
      </c>
      <c r="D19" s="168" t="s">
        <v>306</v>
      </c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22"/>
      <c r="V19" s="168" t="s">
        <v>103</v>
      </c>
      <c r="W19" s="168"/>
      <c r="X19" s="168"/>
      <c r="Y19" s="121"/>
      <c r="Z19" s="121">
        <v>100</v>
      </c>
      <c r="AA19" s="169" t="s">
        <v>306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108">
        <f t="shared" si="0"/>
        <v>9</v>
      </c>
      <c r="C20" s="170" t="s">
        <v>307</v>
      </c>
      <c r="D20" s="171" t="s">
        <v>308</v>
      </c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22"/>
      <c r="V20" s="168" t="s">
        <v>103</v>
      </c>
      <c r="W20" s="168"/>
      <c r="X20" s="168"/>
      <c r="Y20" s="121"/>
      <c r="Z20" s="121">
        <v>200</v>
      </c>
      <c r="AA20" s="172" t="s">
        <v>308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108">
        <f t="shared" si="0"/>
        <v>10</v>
      </c>
      <c r="C21" s="167" t="s">
        <v>104</v>
      </c>
      <c r="D21" s="168" t="s">
        <v>105</v>
      </c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22"/>
      <c r="V21" s="168" t="s">
        <v>106</v>
      </c>
      <c r="W21" s="168">
        <v>10</v>
      </c>
      <c r="X21" s="168">
        <v>5</v>
      </c>
      <c r="Y21" s="121"/>
      <c r="Z21" s="121"/>
      <c r="AA21" s="169" t="s">
        <v>105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108">
        <f t="shared" si="0"/>
        <v>11</v>
      </c>
      <c r="C22" s="167" t="s">
        <v>107</v>
      </c>
      <c r="D22" s="168" t="s">
        <v>108</v>
      </c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22"/>
      <c r="V22" s="168" t="s">
        <v>106</v>
      </c>
      <c r="W22" s="168">
        <v>10</v>
      </c>
      <c r="X22" s="168">
        <v>5</v>
      </c>
      <c r="Y22" s="121"/>
      <c r="Z22" s="121"/>
      <c r="AA22" s="169" t="s">
        <v>108</v>
      </c>
      <c r="AB22" s="40"/>
      <c r="AC22" s="40"/>
      <c r="AD22" s="27"/>
      <c r="AE22" s="27"/>
      <c r="AF22" s="4"/>
      <c r="AG22" s="4"/>
    </row>
    <row r="23" spans="1:33" s="21" customFormat="1">
      <c r="A23" s="25"/>
      <c r="B23" s="108">
        <f t="shared" si="0"/>
        <v>12</v>
      </c>
      <c r="C23" s="167" t="s">
        <v>309</v>
      </c>
      <c r="D23" s="168" t="s">
        <v>310</v>
      </c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22"/>
      <c r="V23" s="168" t="s">
        <v>103</v>
      </c>
      <c r="W23" s="168"/>
      <c r="X23" s="168"/>
      <c r="Y23" s="121"/>
      <c r="Z23" s="121">
        <v>500</v>
      </c>
      <c r="AA23" s="169" t="s">
        <v>310</v>
      </c>
      <c r="AB23" s="40"/>
      <c r="AC23" s="40"/>
      <c r="AD23" s="27"/>
      <c r="AE23" s="27"/>
      <c r="AF23" s="4"/>
      <c r="AG23" s="4"/>
    </row>
    <row r="24" spans="1:33" s="21" customFormat="1">
      <c r="A24" s="25"/>
      <c r="B24" s="108">
        <f t="shared" si="0"/>
        <v>13</v>
      </c>
      <c r="C24" s="167" t="s">
        <v>111</v>
      </c>
      <c r="D24" s="168" t="s">
        <v>311</v>
      </c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22"/>
      <c r="V24" s="168" t="s">
        <v>103</v>
      </c>
      <c r="W24" s="168"/>
      <c r="X24" s="168"/>
      <c r="Y24" s="121"/>
      <c r="Z24" s="121">
        <v>10</v>
      </c>
      <c r="AA24" s="169" t="s">
        <v>311</v>
      </c>
      <c r="AB24" s="40"/>
      <c r="AC24" s="40"/>
      <c r="AD24" s="23"/>
      <c r="AE24" s="23"/>
      <c r="AF24" s="4"/>
      <c r="AG24" s="4"/>
    </row>
    <row r="25" spans="1:33" s="21" customFormat="1">
      <c r="A25" s="25"/>
      <c r="B25" s="108">
        <f t="shared" si="0"/>
        <v>14</v>
      </c>
      <c r="C25" s="170" t="s">
        <v>312</v>
      </c>
      <c r="D25" s="171" t="s">
        <v>313</v>
      </c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3"/>
      <c r="V25" s="171" t="s">
        <v>103</v>
      </c>
      <c r="W25" s="171"/>
      <c r="X25" s="171"/>
      <c r="Y25" s="126"/>
      <c r="Z25" s="126">
        <v>500</v>
      </c>
      <c r="AA25" s="172" t="s">
        <v>313</v>
      </c>
      <c r="AB25" s="40"/>
      <c r="AC25" s="40"/>
      <c r="AD25" s="23"/>
      <c r="AE25" s="23"/>
      <c r="AF25" s="4"/>
      <c r="AG25" s="4"/>
    </row>
    <row r="26" spans="1:33" s="21" customFormat="1">
      <c r="A26" s="25"/>
      <c r="B26" s="108">
        <f t="shared" si="0"/>
        <v>15</v>
      </c>
      <c r="C26" s="170" t="s">
        <v>112</v>
      </c>
      <c r="D26" s="171" t="s">
        <v>113</v>
      </c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22"/>
      <c r="V26" s="168" t="s">
        <v>103</v>
      </c>
      <c r="W26" s="168"/>
      <c r="X26" s="168"/>
      <c r="Y26" s="121"/>
      <c r="Z26" s="121">
        <v>100</v>
      </c>
      <c r="AA26" s="169" t="s">
        <v>113</v>
      </c>
      <c r="AB26" s="40"/>
      <c r="AC26" s="40"/>
      <c r="AD26" s="23"/>
      <c r="AE26" s="23"/>
      <c r="AF26" s="4"/>
      <c r="AG26" s="4"/>
    </row>
    <row r="27" spans="1:33" s="21" customFormat="1">
      <c r="A27" s="25"/>
      <c r="B27" s="108">
        <f t="shared" si="0"/>
        <v>16</v>
      </c>
      <c r="C27" s="170" t="s">
        <v>139</v>
      </c>
      <c r="D27" s="174" t="s">
        <v>140</v>
      </c>
      <c r="E27" s="175"/>
      <c r="F27" s="175"/>
      <c r="G27" s="175"/>
      <c r="H27" s="175"/>
      <c r="I27" s="175"/>
      <c r="J27" s="175"/>
      <c r="K27" s="176"/>
      <c r="L27" s="175"/>
      <c r="M27" s="175"/>
      <c r="N27" s="175"/>
      <c r="O27" s="171"/>
      <c r="P27" s="175"/>
      <c r="Q27" s="175"/>
      <c r="R27" s="175"/>
      <c r="S27" s="174"/>
      <c r="T27" s="175"/>
      <c r="U27" s="175"/>
      <c r="V27" s="175" t="s">
        <v>103</v>
      </c>
      <c r="W27" s="171"/>
      <c r="X27" s="171"/>
      <c r="Y27" s="171"/>
      <c r="Z27" s="121">
        <v>100</v>
      </c>
      <c r="AA27" s="177" t="s">
        <v>140</v>
      </c>
      <c r="AB27" s="40"/>
      <c r="AC27" s="40"/>
      <c r="AD27" s="23"/>
      <c r="AE27" s="23"/>
      <c r="AF27" s="4"/>
      <c r="AG27" s="4"/>
    </row>
    <row r="28" spans="1:33" s="21" customFormat="1">
      <c r="A28" s="25"/>
      <c r="B28" s="108">
        <f t="shared" si="0"/>
        <v>17</v>
      </c>
      <c r="C28" s="170" t="s">
        <v>147</v>
      </c>
      <c r="D28" s="174" t="s">
        <v>148</v>
      </c>
      <c r="E28" s="175"/>
      <c r="F28" s="175"/>
      <c r="G28" s="175"/>
      <c r="H28" s="175"/>
      <c r="I28" s="175"/>
      <c r="J28" s="175"/>
      <c r="K28" s="176"/>
      <c r="L28" s="175"/>
      <c r="M28" s="175"/>
      <c r="N28" s="175"/>
      <c r="O28" s="171"/>
      <c r="P28" s="175"/>
      <c r="Q28" s="175"/>
      <c r="R28" s="175"/>
      <c r="S28" s="174"/>
      <c r="T28" s="175"/>
      <c r="U28" s="175"/>
      <c r="V28" s="175" t="s">
        <v>103</v>
      </c>
      <c r="W28" s="171"/>
      <c r="X28" s="171"/>
      <c r="Y28" s="171"/>
      <c r="Z28" s="126">
        <v>50</v>
      </c>
      <c r="AA28" s="177" t="s">
        <v>148</v>
      </c>
      <c r="AB28" s="40"/>
      <c r="AC28" s="40"/>
      <c r="AD28" s="23"/>
      <c r="AE28" s="23"/>
      <c r="AF28" s="4"/>
      <c r="AG28" s="4"/>
    </row>
    <row r="29" spans="1:33" s="21" customFormat="1">
      <c r="A29" s="25"/>
      <c r="B29" s="108">
        <f t="shared" si="0"/>
        <v>18</v>
      </c>
      <c r="C29" s="170" t="s">
        <v>314</v>
      </c>
      <c r="D29" s="174" t="s">
        <v>315</v>
      </c>
      <c r="E29" s="178"/>
      <c r="F29" s="178"/>
      <c r="G29" s="178"/>
      <c r="H29" s="178"/>
      <c r="I29" s="178"/>
      <c r="J29" s="178"/>
      <c r="K29" s="179"/>
      <c r="L29" s="178"/>
      <c r="M29" s="178"/>
      <c r="N29" s="178"/>
      <c r="O29" s="168"/>
      <c r="P29" s="178"/>
      <c r="Q29" s="178"/>
      <c r="R29" s="178"/>
      <c r="S29" s="180"/>
      <c r="T29" s="178"/>
      <c r="U29" s="178"/>
      <c r="V29" s="178" t="s">
        <v>103</v>
      </c>
      <c r="W29" s="168"/>
      <c r="X29" s="168"/>
      <c r="Y29" s="181"/>
      <c r="Z29" s="121">
        <v>100</v>
      </c>
      <c r="AA29" s="177" t="s">
        <v>315</v>
      </c>
      <c r="AB29" s="40"/>
      <c r="AC29" s="40"/>
      <c r="AD29" s="23"/>
      <c r="AE29" s="23"/>
      <c r="AF29" s="4"/>
      <c r="AG29" s="4"/>
    </row>
    <row r="30" spans="1:33" s="21" customFormat="1">
      <c r="A30" s="25"/>
      <c r="B30" s="108">
        <f t="shared" si="0"/>
        <v>19</v>
      </c>
      <c r="C30" s="170" t="s">
        <v>316</v>
      </c>
      <c r="D30" s="171" t="s">
        <v>317</v>
      </c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22"/>
      <c r="V30" s="168" t="s">
        <v>103</v>
      </c>
      <c r="W30" s="168"/>
      <c r="X30" s="168"/>
      <c r="Y30" s="121"/>
      <c r="Z30" s="121">
        <v>100</v>
      </c>
      <c r="AA30" s="172" t="s">
        <v>318</v>
      </c>
      <c r="AB30" s="40"/>
      <c r="AC30" s="40"/>
      <c r="AD30" s="23"/>
      <c r="AE30" s="23"/>
      <c r="AF30" s="4"/>
      <c r="AG30" s="4"/>
    </row>
    <row r="31" spans="1:33" s="21" customFormat="1">
      <c r="A31" s="25"/>
      <c r="B31" s="108">
        <f t="shared" si="0"/>
        <v>20</v>
      </c>
      <c r="C31" s="167" t="s">
        <v>109</v>
      </c>
      <c r="D31" s="168" t="s">
        <v>110</v>
      </c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22"/>
      <c r="V31" s="168" t="s">
        <v>103</v>
      </c>
      <c r="W31" s="168"/>
      <c r="X31" s="168"/>
      <c r="Y31" s="121"/>
      <c r="Z31" s="121">
        <v>50</v>
      </c>
      <c r="AA31" s="169" t="s">
        <v>110</v>
      </c>
      <c r="AB31" s="40"/>
      <c r="AC31" s="40"/>
      <c r="AD31" s="23"/>
      <c r="AE31" s="23"/>
      <c r="AF31" s="4"/>
      <c r="AG31" s="4"/>
    </row>
    <row r="32" spans="1:33" s="21" customFormat="1">
      <c r="A32" s="25"/>
      <c r="B32" s="108">
        <f t="shared" si="0"/>
        <v>21</v>
      </c>
      <c r="C32" s="170" t="s">
        <v>114</v>
      </c>
      <c r="D32" s="171" t="s">
        <v>115</v>
      </c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22"/>
      <c r="V32" s="168" t="s">
        <v>103</v>
      </c>
      <c r="W32" s="168"/>
      <c r="X32" s="168"/>
      <c r="Y32" s="121"/>
      <c r="Z32" s="121">
        <v>50</v>
      </c>
      <c r="AA32" s="169" t="s">
        <v>115</v>
      </c>
      <c r="AB32" s="40"/>
      <c r="AC32" s="40"/>
      <c r="AD32" s="23"/>
      <c r="AE32" s="23"/>
      <c r="AF32" s="4"/>
      <c r="AG32" s="4"/>
    </row>
    <row r="33" spans="1:33" s="21" customFormat="1">
      <c r="A33" s="25"/>
      <c r="B33" s="108">
        <f t="shared" si="0"/>
        <v>22</v>
      </c>
      <c r="C33" s="167" t="s">
        <v>116</v>
      </c>
      <c r="D33" s="168" t="s">
        <v>117</v>
      </c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22"/>
      <c r="V33" s="168" t="s">
        <v>103</v>
      </c>
      <c r="W33" s="168"/>
      <c r="X33" s="168"/>
      <c r="Y33" s="121"/>
      <c r="Z33" s="121">
        <v>50</v>
      </c>
      <c r="AA33" s="169" t="s">
        <v>117</v>
      </c>
      <c r="AB33" s="40"/>
      <c r="AC33" s="40"/>
      <c r="AD33" s="23"/>
      <c r="AE33" s="23"/>
      <c r="AF33" s="4"/>
      <c r="AG33" s="4"/>
    </row>
    <row r="34" spans="1:33" s="21" customFormat="1">
      <c r="A34" s="25"/>
      <c r="B34" s="108">
        <f t="shared" si="0"/>
        <v>23</v>
      </c>
      <c r="C34" s="167" t="s">
        <v>118</v>
      </c>
      <c r="D34" s="168" t="s">
        <v>119</v>
      </c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22"/>
      <c r="V34" s="168" t="s">
        <v>120</v>
      </c>
      <c r="W34" s="168"/>
      <c r="X34" s="168"/>
      <c r="Y34" s="121"/>
      <c r="Z34" s="121"/>
      <c r="AA34" s="169" t="s">
        <v>119</v>
      </c>
      <c r="AB34" s="40"/>
      <c r="AC34" s="40"/>
      <c r="AD34" s="23"/>
      <c r="AE34" s="23"/>
      <c r="AF34" s="4"/>
      <c r="AG34" s="4"/>
    </row>
    <row r="35" spans="1:33" s="21" customFormat="1">
      <c r="A35" s="25"/>
      <c r="B35" s="108">
        <f t="shared" si="0"/>
        <v>24</v>
      </c>
      <c r="C35" s="167" t="s">
        <v>121</v>
      </c>
      <c r="D35" s="168" t="s">
        <v>122</v>
      </c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22"/>
      <c r="V35" s="168" t="s">
        <v>103</v>
      </c>
      <c r="W35" s="168"/>
      <c r="X35" s="168"/>
      <c r="Y35" s="121"/>
      <c r="Z35" s="121">
        <v>100</v>
      </c>
      <c r="AA35" s="169" t="s">
        <v>122</v>
      </c>
      <c r="AB35" s="40"/>
      <c r="AC35" s="40"/>
      <c r="AD35" s="23"/>
      <c r="AE35" s="23"/>
      <c r="AF35" s="4"/>
      <c r="AG35" s="4"/>
    </row>
    <row r="36" spans="1:33" s="21" customFormat="1">
      <c r="A36" s="25"/>
      <c r="B36" s="108">
        <f t="shared" si="0"/>
        <v>25</v>
      </c>
      <c r="C36" s="167" t="s">
        <v>123</v>
      </c>
      <c r="D36" s="168" t="s">
        <v>319</v>
      </c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22"/>
      <c r="V36" s="168" t="s">
        <v>103</v>
      </c>
      <c r="W36" s="168"/>
      <c r="X36" s="168"/>
      <c r="Y36" s="121"/>
      <c r="Z36" s="121">
        <v>50</v>
      </c>
      <c r="AA36" s="169" t="s">
        <v>124</v>
      </c>
      <c r="AB36" s="40"/>
      <c r="AC36" s="40"/>
      <c r="AD36" s="23"/>
      <c r="AE36" s="23"/>
      <c r="AF36" s="4"/>
      <c r="AG36" s="4"/>
    </row>
    <row r="37" spans="1:33" s="21" customFormat="1">
      <c r="A37" s="25"/>
      <c r="B37" s="108">
        <f t="shared" si="0"/>
        <v>26</v>
      </c>
      <c r="C37" s="170" t="s">
        <v>320</v>
      </c>
      <c r="D37" s="174" t="s">
        <v>321</v>
      </c>
      <c r="E37" s="175"/>
      <c r="F37" s="175"/>
      <c r="G37" s="175"/>
      <c r="H37" s="175"/>
      <c r="I37" s="175"/>
      <c r="J37" s="175"/>
      <c r="K37" s="176"/>
      <c r="L37" s="175"/>
      <c r="M37" s="175"/>
      <c r="N37" s="175"/>
      <c r="O37" s="171"/>
      <c r="P37" s="175"/>
      <c r="Q37" s="175"/>
      <c r="R37" s="175"/>
      <c r="S37" s="174"/>
      <c r="T37" s="175"/>
      <c r="U37" s="175"/>
      <c r="V37" s="175" t="s">
        <v>106</v>
      </c>
      <c r="W37" s="171">
        <v>3</v>
      </c>
      <c r="X37" s="171">
        <v>0</v>
      </c>
      <c r="Y37" s="171"/>
      <c r="Z37" s="182"/>
      <c r="AA37" s="177" t="s">
        <v>321</v>
      </c>
      <c r="AB37" s="40"/>
      <c r="AC37" s="40"/>
      <c r="AD37" s="23"/>
      <c r="AE37" s="23"/>
      <c r="AF37" s="4"/>
      <c r="AG37" s="4"/>
    </row>
    <row r="38" spans="1:33" s="21" customFormat="1">
      <c r="A38" s="25"/>
      <c r="B38" s="108">
        <f t="shared" si="0"/>
        <v>27</v>
      </c>
      <c r="C38" s="170" t="s">
        <v>322</v>
      </c>
      <c r="D38" s="174" t="s">
        <v>323</v>
      </c>
      <c r="E38" s="175"/>
      <c r="F38" s="175"/>
      <c r="G38" s="175"/>
      <c r="H38" s="175"/>
      <c r="I38" s="175"/>
      <c r="J38" s="175"/>
      <c r="K38" s="176"/>
      <c r="L38" s="175"/>
      <c r="M38" s="175"/>
      <c r="N38" s="175"/>
      <c r="O38" s="171"/>
      <c r="P38" s="175"/>
      <c r="Q38" s="175"/>
      <c r="R38" s="175"/>
      <c r="S38" s="174"/>
      <c r="T38" s="175"/>
      <c r="U38" s="175"/>
      <c r="V38" s="175" t="s">
        <v>106</v>
      </c>
      <c r="W38" s="171">
        <v>3</v>
      </c>
      <c r="X38" s="171">
        <v>0</v>
      </c>
      <c r="Y38" s="171"/>
      <c r="Z38" s="182"/>
      <c r="AA38" s="177" t="s">
        <v>323</v>
      </c>
      <c r="AB38" s="40"/>
      <c r="AC38" s="40"/>
      <c r="AD38" s="23"/>
      <c r="AE38" s="23"/>
      <c r="AF38" s="4"/>
      <c r="AG38" s="4"/>
    </row>
    <row r="39" spans="1:33" s="21" customFormat="1">
      <c r="A39" s="25"/>
      <c r="B39" s="108">
        <f t="shared" si="0"/>
        <v>28</v>
      </c>
      <c r="C39" s="167" t="s">
        <v>324</v>
      </c>
      <c r="D39" s="168" t="s">
        <v>325</v>
      </c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22"/>
      <c r="V39" s="168" t="s">
        <v>103</v>
      </c>
      <c r="W39" s="168"/>
      <c r="X39" s="168"/>
      <c r="Y39" s="121"/>
      <c r="Z39" s="121">
        <v>50</v>
      </c>
      <c r="AA39" s="169" t="s">
        <v>325</v>
      </c>
      <c r="AB39" s="40"/>
      <c r="AC39" s="40"/>
      <c r="AD39" s="23"/>
      <c r="AE39" s="23"/>
      <c r="AF39" s="4"/>
      <c r="AG39" s="4"/>
    </row>
    <row r="40" spans="1:33" s="21" customFormat="1">
      <c r="A40" s="25"/>
      <c r="B40" s="108">
        <f t="shared" si="0"/>
        <v>29</v>
      </c>
      <c r="C40" s="170" t="s">
        <v>125</v>
      </c>
      <c r="D40" s="171" t="s">
        <v>126</v>
      </c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3"/>
      <c r="V40" s="171" t="s">
        <v>103</v>
      </c>
      <c r="W40" s="171"/>
      <c r="X40" s="171"/>
      <c r="Y40" s="126"/>
      <c r="Z40" s="126">
        <v>500</v>
      </c>
      <c r="AA40" s="172" t="s">
        <v>126</v>
      </c>
      <c r="AB40" s="40"/>
      <c r="AC40" s="40"/>
      <c r="AD40" s="23"/>
      <c r="AE40" s="23"/>
      <c r="AF40" s="4"/>
      <c r="AG40" s="4"/>
    </row>
    <row r="41" spans="1:33" s="21" customFormat="1">
      <c r="A41" s="25"/>
      <c r="B41" s="108">
        <f t="shared" si="0"/>
        <v>30</v>
      </c>
      <c r="C41" s="170" t="s">
        <v>127</v>
      </c>
      <c r="D41" s="174" t="s">
        <v>128</v>
      </c>
      <c r="E41" s="175"/>
      <c r="F41" s="175"/>
      <c r="G41" s="175"/>
      <c r="H41" s="175"/>
      <c r="I41" s="175"/>
      <c r="J41" s="175"/>
      <c r="K41" s="176"/>
      <c r="L41" s="175"/>
      <c r="M41" s="175"/>
      <c r="N41" s="175"/>
      <c r="O41" s="171"/>
      <c r="P41" s="175"/>
      <c r="Q41" s="175"/>
      <c r="R41" s="175"/>
      <c r="S41" s="174"/>
      <c r="T41" s="175"/>
      <c r="U41" s="175"/>
      <c r="V41" s="175" t="s">
        <v>103</v>
      </c>
      <c r="W41" s="171"/>
      <c r="X41" s="171"/>
      <c r="Y41" s="171"/>
      <c r="Z41" s="126">
        <v>10</v>
      </c>
      <c r="AA41" s="177" t="s">
        <v>128</v>
      </c>
      <c r="AB41" s="40"/>
      <c r="AC41" s="40"/>
      <c r="AD41" s="23"/>
      <c r="AE41" s="23"/>
      <c r="AF41" s="4"/>
      <c r="AG41" s="4"/>
    </row>
    <row r="42" spans="1:33" s="21" customFormat="1">
      <c r="A42" s="25"/>
      <c r="B42" s="108">
        <f t="shared" si="0"/>
        <v>31</v>
      </c>
      <c r="C42" s="170" t="s">
        <v>129</v>
      </c>
      <c r="D42" s="171" t="s">
        <v>130</v>
      </c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3"/>
      <c r="V42" s="171" t="s">
        <v>103</v>
      </c>
      <c r="W42" s="171"/>
      <c r="X42" s="171"/>
      <c r="Y42" s="126"/>
      <c r="Z42" s="126">
        <v>10</v>
      </c>
      <c r="AA42" s="172" t="s">
        <v>130</v>
      </c>
      <c r="AB42" s="40"/>
      <c r="AC42" s="40"/>
      <c r="AD42" s="23"/>
      <c r="AE42" s="23"/>
      <c r="AF42" s="4"/>
      <c r="AG42" s="4"/>
    </row>
    <row r="43" spans="1:33" s="21" customFormat="1">
      <c r="A43" s="25"/>
      <c r="B43" s="108">
        <f t="shared" si="0"/>
        <v>32</v>
      </c>
      <c r="C43" s="170" t="s">
        <v>131</v>
      </c>
      <c r="D43" s="174" t="s">
        <v>132</v>
      </c>
      <c r="E43" s="175"/>
      <c r="F43" s="175"/>
      <c r="G43" s="175"/>
      <c r="H43" s="175"/>
      <c r="I43" s="175"/>
      <c r="J43" s="175"/>
      <c r="K43" s="176"/>
      <c r="L43" s="175"/>
      <c r="M43" s="175"/>
      <c r="N43" s="175"/>
      <c r="O43" s="171"/>
      <c r="P43" s="175"/>
      <c r="Q43" s="175"/>
      <c r="R43" s="175"/>
      <c r="S43" s="174"/>
      <c r="T43" s="175"/>
      <c r="U43" s="175"/>
      <c r="V43" s="175" t="s">
        <v>103</v>
      </c>
      <c r="W43" s="171"/>
      <c r="X43" s="171"/>
      <c r="Y43" s="171"/>
      <c r="Z43" s="126">
        <v>10</v>
      </c>
      <c r="AA43" s="177" t="s">
        <v>132</v>
      </c>
      <c r="AB43" s="40"/>
      <c r="AC43" s="40"/>
      <c r="AD43" s="23"/>
      <c r="AE43" s="23"/>
      <c r="AF43" s="4"/>
      <c r="AG43" s="4"/>
    </row>
    <row r="44" spans="1:33" s="21" customFormat="1">
      <c r="A44" s="25"/>
      <c r="B44" s="108">
        <f t="shared" si="0"/>
        <v>33</v>
      </c>
      <c r="C44" s="170" t="s">
        <v>133</v>
      </c>
      <c r="D44" s="171" t="s">
        <v>134</v>
      </c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3"/>
      <c r="V44" s="171" t="s">
        <v>103</v>
      </c>
      <c r="W44" s="171"/>
      <c r="X44" s="171"/>
      <c r="Y44" s="126"/>
      <c r="Z44" s="126">
        <v>10</v>
      </c>
      <c r="AA44" s="172" t="s">
        <v>134</v>
      </c>
      <c r="AB44" s="40"/>
      <c r="AC44" s="40"/>
      <c r="AD44" s="23"/>
      <c r="AE44" s="23"/>
      <c r="AF44" s="4"/>
      <c r="AG44" s="4"/>
    </row>
    <row r="45" spans="1:33" s="21" customFormat="1">
      <c r="A45" s="25"/>
      <c r="B45" s="108">
        <f t="shared" si="0"/>
        <v>34</v>
      </c>
      <c r="C45" s="170" t="s">
        <v>135</v>
      </c>
      <c r="D45" s="174" t="s">
        <v>136</v>
      </c>
      <c r="E45" s="175"/>
      <c r="F45" s="175"/>
      <c r="G45" s="175"/>
      <c r="H45" s="175"/>
      <c r="I45" s="175"/>
      <c r="J45" s="175"/>
      <c r="K45" s="176"/>
      <c r="L45" s="175"/>
      <c r="M45" s="175"/>
      <c r="N45" s="175"/>
      <c r="O45" s="171"/>
      <c r="P45" s="175"/>
      <c r="Q45" s="175"/>
      <c r="R45" s="175"/>
      <c r="S45" s="174"/>
      <c r="T45" s="175"/>
      <c r="U45" s="175"/>
      <c r="V45" s="175" t="s">
        <v>106</v>
      </c>
      <c r="W45" s="171">
        <v>2</v>
      </c>
      <c r="X45" s="171">
        <v>0</v>
      </c>
      <c r="Y45" s="171"/>
      <c r="Z45" s="182"/>
      <c r="AA45" s="177" t="s">
        <v>136</v>
      </c>
      <c r="AB45" s="40"/>
      <c r="AC45" s="40"/>
      <c r="AD45" s="23"/>
      <c r="AE45" s="23"/>
      <c r="AF45" s="4"/>
      <c r="AG45" s="4"/>
    </row>
    <row r="46" spans="1:33" s="21" customFormat="1">
      <c r="A46" s="25"/>
      <c r="B46" s="108">
        <f t="shared" si="0"/>
        <v>35</v>
      </c>
      <c r="C46" s="170" t="s">
        <v>137</v>
      </c>
      <c r="D46" s="174" t="s">
        <v>138</v>
      </c>
      <c r="E46" s="175"/>
      <c r="F46" s="175"/>
      <c r="G46" s="175"/>
      <c r="H46" s="175"/>
      <c r="I46" s="175"/>
      <c r="J46" s="175"/>
      <c r="K46" s="176"/>
      <c r="L46" s="175"/>
      <c r="M46" s="175"/>
      <c r="N46" s="175"/>
      <c r="O46" s="171"/>
      <c r="P46" s="175"/>
      <c r="Q46" s="175"/>
      <c r="R46" s="175"/>
      <c r="S46" s="174"/>
      <c r="T46" s="175"/>
      <c r="U46" s="175"/>
      <c r="V46" s="175" t="s">
        <v>106</v>
      </c>
      <c r="W46" s="171">
        <v>2</v>
      </c>
      <c r="X46" s="171">
        <v>0</v>
      </c>
      <c r="Y46" s="171"/>
      <c r="Z46" s="182"/>
      <c r="AA46" s="177" t="s">
        <v>138</v>
      </c>
      <c r="AB46" s="40"/>
      <c r="AC46" s="40"/>
      <c r="AD46" s="23"/>
      <c r="AE46" s="23"/>
      <c r="AF46" s="4"/>
      <c r="AG46" s="4"/>
    </row>
    <row r="47" spans="1:33" s="21" customFormat="1">
      <c r="A47" s="25"/>
      <c r="B47" s="108">
        <f t="shared" si="0"/>
        <v>36</v>
      </c>
      <c r="C47" s="170" t="s">
        <v>141</v>
      </c>
      <c r="D47" s="174" t="s">
        <v>142</v>
      </c>
      <c r="E47" s="175"/>
      <c r="F47" s="175"/>
      <c r="G47" s="175"/>
      <c r="H47" s="175"/>
      <c r="I47" s="175"/>
      <c r="J47" s="175"/>
      <c r="K47" s="176"/>
      <c r="L47" s="175"/>
      <c r="M47" s="175"/>
      <c r="N47" s="175"/>
      <c r="O47" s="171"/>
      <c r="P47" s="175"/>
      <c r="Q47" s="175"/>
      <c r="R47" s="175"/>
      <c r="S47" s="174"/>
      <c r="T47" s="175"/>
      <c r="U47" s="175"/>
      <c r="V47" s="175" t="s">
        <v>120</v>
      </c>
      <c r="W47" s="171"/>
      <c r="X47" s="171"/>
      <c r="Y47" s="171"/>
      <c r="Z47" s="182"/>
      <c r="AA47" s="177" t="s">
        <v>142</v>
      </c>
      <c r="AB47" s="40"/>
      <c r="AC47" s="40"/>
      <c r="AD47" s="23"/>
      <c r="AE47" s="23"/>
      <c r="AF47" s="4"/>
      <c r="AG47" s="4"/>
    </row>
    <row r="48" spans="1:33" s="21" customFormat="1">
      <c r="A48" s="25"/>
      <c r="B48" s="108">
        <f t="shared" si="0"/>
        <v>37</v>
      </c>
      <c r="C48" s="170" t="s">
        <v>143</v>
      </c>
      <c r="D48" s="174" t="s">
        <v>144</v>
      </c>
      <c r="E48" s="175"/>
      <c r="F48" s="175"/>
      <c r="G48" s="175"/>
      <c r="H48" s="175"/>
      <c r="I48" s="175"/>
      <c r="J48" s="175"/>
      <c r="K48" s="176"/>
      <c r="L48" s="175"/>
      <c r="M48" s="175"/>
      <c r="N48" s="175"/>
      <c r="O48" s="171"/>
      <c r="P48" s="175"/>
      <c r="Q48" s="175"/>
      <c r="R48" s="175"/>
      <c r="S48" s="174"/>
      <c r="T48" s="175"/>
      <c r="U48" s="175"/>
      <c r="V48" s="175" t="s">
        <v>106</v>
      </c>
      <c r="W48" s="171">
        <v>1</v>
      </c>
      <c r="X48" s="171">
        <v>0</v>
      </c>
      <c r="Y48" s="171"/>
      <c r="Z48" s="182"/>
      <c r="AA48" s="177" t="s">
        <v>144</v>
      </c>
      <c r="AB48" s="40"/>
      <c r="AC48" s="40"/>
      <c r="AD48" s="23"/>
      <c r="AE48" s="23"/>
      <c r="AF48" s="4"/>
      <c r="AG48" s="4"/>
    </row>
    <row r="49" spans="1:33" s="21" customFormat="1">
      <c r="A49" s="25"/>
      <c r="B49" s="108">
        <f t="shared" si="0"/>
        <v>38</v>
      </c>
      <c r="C49" s="170" t="s">
        <v>145</v>
      </c>
      <c r="D49" s="174" t="s">
        <v>146</v>
      </c>
      <c r="E49" s="175"/>
      <c r="F49" s="175"/>
      <c r="G49" s="175"/>
      <c r="H49" s="175"/>
      <c r="I49" s="175"/>
      <c r="J49" s="175"/>
      <c r="K49" s="176"/>
      <c r="L49" s="175"/>
      <c r="M49" s="175"/>
      <c r="N49" s="175"/>
      <c r="O49" s="171"/>
      <c r="P49" s="175"/>
      <c r="Q49" s="175"/>
      <c r="R49" s="175"/>
      <c r="S49" s="174"/>
      <c r="T49" s="175"/>
      <c r="U49" s="175"/>
      <c r="V49" s="175" t="s">
        <v>106</v>
      </c>
      <c r="W49" s="171">
        <v>2</v>
      </c>
      <c r="X49" s="171">
        <v>0</v>
      </c>
      <c r="Y49" s="171"/>
      <c r="Z49" s="182"/>
      <c r="AA49" s="177" t="s">
        <v>146</v>
      </c>
      <c r="AB49" s="40"/>
      <c r="AC49" s="40"/>
      <c r="AD49" s="23"/>
      <c r="AE49" s="23"/>
      <c r="AF49" s="4"/>
      <c r="AG49" s="4"/>
    </row>
    <row r="50" spans="1:33" s="21" customFormat="1">
      <c r="A50" s="25"/>
      <c r="B50" s="108">
        <f t="shared" si="0"/>
        <v>39</v>
      </c>
      <c r="C50" s="170" t="s">
        <v>149</v>
      </c>
      <c r="D50" s="174" t="s">
        <v>150</v>
      </c>
      <c r="E50" s="175"/>
      <c r="F50" s="175"/>
      <c r="G50" s="175"/>
      <c r="H50" s="175"/>
      <c r="I50" s="175"/>
      <c r="J50" s="175"/>
      <c r="K50" s="176"/>
      <c r="L50" s="175"/>
      <c r="M50" s="175"/>
      <c r="N50" s="175"/>
      <c r="O50" s="171"/>
      <c r="P50" s="175"/>
      <c r="Q50" s="175"/>
      <c r="R50" s="175"/>
      <c r="S50" s="174"/>
      <c r="T50" s="175"/>
      <c r="U50" s="175"/>
      <c r="V50" s="175" t="s">
        <v>120</v>
      </c>
      <c r="W50" s="171"/>
      <c r="X50" s="171"/>
      <c r="Y50" s="171"/>
      <c r="Z50" s="182"/>
      <c r="AA50" s="177" t="s">
        <v>150</v>
      </c>
      <c r="AB50" s="40"/>
      <c r="AC50" s="40"/>
      <c r="AD50" s="23"/>
      <c r="AE50" s="23"/>
      <c r="AF50" s="4"/>
      <c r="AG50" s="4"/>
    </row>
    <row r="51" spans="1:33" s="21" customFormat="1">
      <c r="A51" s="25"/>
      <c r="B51" s="108">
        <f t="shared" si="0"/>
        <v>40</v>
      </c>
      <c r="C51" s="170" t="s">
        <v>151</v>
      </c>
      <c r="D51" s="174" t="s">
        <v>152</v>
      </c>
      <c r="E51" s="175"/>
      <c r="F51" s="175"/>
      <c r="G51" s="175"/>
      <c r="H51" s="175"/>
      <c r="I51" s="175"/>
      <c r="J51" s="175"/>
      <c r="K51" s="176"/>
      <c r="L51" s="175"/>
      <c r="M51" s="175"/>
      <c r="N51" s="175"/>
      <c r="O51" s="171"/>
      <c r="P51" s="175"/>
      <c r="Q51" s="175"/>
      <c r="R51" s="175"/>
      <c r="S51" s="174"/>
      <c r="T51" s="175"/>
      <c r="U51" s="175"/>
      <c r="V51" s="175" t="s">
        <v>106</v>
      </c>
      <c r="W51" s="171">
        <v>1</v>
      </c>
      <c r="X51" s="171">
        <v>0</v>
      </c>
      <c r="Y51" s="171"/>
      <c r="Z51" s="182"/>
      <c r="AA51" s="177" t="s">
        <v>152</v>
      </c>
      <c r="AB51" s="40"/>
      <c r="AC51" s="40"/>
      <c r="AD51" s="23"/>
      <c r="AE51" s="23"/>
      <c r="AF51" s="4"/>
      <c r="AG51" s="4"/>
    </row>
    <row r="52" spans="1:33" s="21" customFormat="1">
      <c r="A52" s="25"/>
      <c r="B52" s="108">
        <f t="shared" si="0"/>
        <v>41</v>
      </c>
      <c r="C52" s="170" t="s">
        <v>68</v>
      </c>
      <c r="D52" s="174" t="s">
        <v>87</v>
      </c>
      <c r="E52" s="175"/>
      <c r="F52" s="175"/>
      <c r="G52" s="175"/>
      <c r="H52" s="175"/>
      <c r="I52" s="175"/>
      <c r="J52" s="175"/>
      <c r="K52" s="176"/>
      <c r="L52" s="175"/>
      <c r="M52" s="175"/>
      <c r="N52" s="175"/>
      <c r="O52" s="171"/>
      <c r="P52" s="175"/>
      <c r="Q52" s="175"/>
      <c r="R52" s="175"/>
      <c r="S52" s="174"/>
      <c r="T52" s="175"/>
      <c r="U52" s="183" t="s">
        <v>27</v>
      </c>
      <c r="V52" s="175" t="s">
        <v>28</v>
      </c>
      <c r="W52" s="171">
        <v>1</v>
      </c>
      <c r="X52" s="171"/>
      <c r="Y52" s="171"/>
      <c r="Z52" s="182"/>
      <c r="AA52" s="177" t="s">
        <v>87</v>
      </c>
      <c r="AB52" s="40"/>
      <c r="AC52" s="40"/>
      <c r="AD52" s="23"/>
      <c r="AE52" s="23"/>
      <c r="AF52" s="4"/>
      <c r="AG52" s="4"/>
    </row>
    <row r="53" spans="1:33" s="21" customFormat="1">
      <c r="A53" s="25"/>
      <c r="B53" s="108">
        <f t="shared" si="0"/>
        <v>42</v>
      </c>
      <c r="C53" s="170" t="s">
        <v>69</v>
      </c>
      <c r="D53" s="174" t="s">
        <v>88</v>
      </c>
      <c r="E53" s="175"/>
      <c r="F53" s="175"/>
      <c r="G53" s="175"/>
      <c r="H53" s="175"/>
      <c r="I53" s="175"/>
      <c r="J53" s="175"/>
      <c r="K53" s="176"/>
      <c r="L53" s="175"/>
      <c r="M53" s="175"/>
      <c r="N53" s="175"/>
      <c r="O53" s="171"/>
      <c r="P53" s="175"/>
      <c r="Q53" s="175"/>
      <c r="R53" s="175"/>
      <c r="S53" s="174"/>
      <c r="T53" s="175"/>
      <c r="U53" s="183" t="s">
        <v>27</v>
      </c>
      <c r="V53" s="175" t="s">
        <v>29</v>
      </c>
      <c r="W53" s="171"/>
      <c r="X53" s="171"/>
      <c r="Y53" s="171"/>
      <c r="Z53" s="182"/>
      <c r="AA53" s="177" t="s">
        <v>88</v>
      </c>
      <c r="AB53" s="40"/>
      <c r="AC53" s="40"/>
      <c r="AD53" s="23"/>
      <c r="AE53" s="23"/>
      <c r="AF53" s="4"/>
      <c r="AG53" s="4"/>
    </row>
    <row r="54" spans="1:33" s="21" customFormat="1">
      <c r="A54" s="25"/>
      <c r="B54" s="108">
        <f t="shared" si="0"/>
        <v>43</v>
      </c>
      <c r="C54" s="170" t="s">
        <v>70</v>
      </c>
      <c r="D54" s="174" t="s">
        <v>89</v>
      </c>
      <c r="E54" s="175"/>
      <c r="F54" s="175"/>
      <c r="G54" s="175"/>
      <c r="H54" s="175"/>
      <c r="I54" s="175"/>
      <c r="J54" s="175"/>
      <c r="K54" s="176"/>
      <c r="L54" s="175"/>
      <c r="M54" s="175"/>
      <c r="N54" s="175"/>
      <c r="O54" s="171"/>
      <c r="P54" s="175"/>
      <c r="Q54" s="175"/>
      <c r="R54" s="175"/>
      <c r="S54" s="174"/>
      <c r="T54" s="175"/>
      <c r="U54" s="183" t="s">
        <v>27</v>
      </c>
      <c r="V54" s="175" t="s">
        <v>33</v>
      </c>
      <c r="W54" s="171">
        <v>20</v>
      </c>
      <c r="X54" s="171"/>
      <c r="Y54" s="171"/>
      <c r="Z54" s="182">
        <v>15</v>
      </c>
      <c r="AA54" s="177" t="s">
        <v>89</v>
      </c>
      <c r="AB54" s="40"/>
      <c r="AC54" s="40"/>
      <c r="AD54" s="23"/>
      <c r="AE54" s="23"/>
      <c r="AF54" s="4"/>
      <c r="AG54" s="4"/>
    </row>
    <row r="55" spans="1:33" s="21" customFormat="1">
      <c r="A55" s="25"/>
      <c r="B55" s="108">
        <f t="shared" si="0"/>
        <v>44</v>
      </c>
      <c r="C55" s="170" t="s">
        <v>71</v>
      </c>
      <c r="D55" s="174" t="s">
        <v>90</v>
      </c>
      <c r="E55" s="175"/>
      <c r="F55" s="175"/>
      <c r="G55" s="175"/>
      <c r="H55" s="175"/>
      <c r="I55" s="175"/>
      <c r="J55" s="175"/>
      <c r="K55" s="176"/>
      <c r="L55" s="175"/>
      <c r="M55" s="175"/>
      <c r="N55" s="175"/>
      <c r="O55" s="171"/>
      <c r="P55" s="175"/>
      <c r="Q55" s="175"/>
      <c r="R55" s="175"/>
      <c r="S55" s="174"/>
      <c r="T55" s="175"/>
      <c r="U55" s="183" t="s">
        <v>27</v>
      </c>
      <c r="V55" s="175" t="s">
        <v>29</v>
      </c>
      <c r="W55" s="171"/>
      <c r="X55" s="171"/>
      <c r="Y55" s="171"/>
      <c r="Z55" s="182"/>
      <c r="AA55" s="177" t="s">
        <v>90</v>
      </c>
      <c r="AB55" s="40"/>
      <c r="AC55" s="40"/>
      <c r="AD55" s="23"/>
      <c r="AE55" s="23"/>
      <c r="AF55" s="4"/>
      <c r="AG55" s="4"/>
    </row>
    <row r="56" spans="1:33" s="21" customFormat="1">
      <c r="A56" s="25"/>
      <c r="B56" s="108">
        <f t="shared" si="0"/>
        <v>45</v>
      </c>
      <c r="C56" s="170" t="s">
        <v>72</v>
      </c>
      <c r="D56" s="174" t="s">
        <v>91</v>
      </c>
      <c r="E56" s="175"/>
      <c r="F56" s="175"/>
      <c r="G56" s="175"/>
      <c r="H56" s="175"/>
      <c r="I56" s="175"/>
      <c r="J56" s="175"/>
      <c r="K56" s="176"/>
      <c r="L56" s="175"/>
      <c r="M56" s="175"/>
      <c r="N56" s="175"/>
      <c r="O56" s="171"/>
      <c r="P56" s="175"/>
      <c r="Q56" s="175"/>
      <c r="R56" s="175"/>
      <c r="S56" s="174"/>
      <c r="T56" s="175"/>
      <c r="U56" s="183" t="s">
        <v>27</v>
      </c>
      <c r="V56" s="175" t="s">
        <v>33</v>
      </c>
      <c r="W56" s="171">
        <v>20</v>
      </c>
      <c r="X56" s="171"/>
      <c r="Y56" s="171"/>
      <c r="Z56" s="182">
        <v>15</v>
      </c>
      <c r="AA56" s="177" t="s">
        <v>91</v>
      </c>
      <c r="AB56" s="40"/>
      <c r="AC56" s="40"/>
      <c r="AD56" s="23"/>
      <c r="AE56" s="23"/>
      <c r="AF56" s="4"/>
      <c r="AG56" s="4"/>
    </row>
    <row r="57" spans="1:33" s="21" customFormat="1">
      <c r="A57" s="25"/>
      <c r="B57" s="108">
        <f t="shared" si="0"/>
        <v>46</v>
      </c>
      <c r="C57" s="170" t="s">
        <v>73</v>
      </c>
      <c r="D57" s="174" t="s">
        <v>78</v>
      </c>
      <c r="E57" s="175"/>
      <c r="F57" s="175"/>
      <c r="G57" s="175"/>
      <c r="H57" s="175"/>
      <c r="I57" s="175"/>
      <c r="J57" s="175"/>
      <c r="K57" s="176"/>
      <c r="L57" s="175"/>
      <c r="M57" s="175"/>
      <c r="N57" s="175"/>
      <c r="O57" s="171"/>
      <c r="P57" s="175"/>
      <c r="Q57" s="175"/>
      <c r="R57" s="175"/>
      <c r="S57" s="174"/>
      <c r="T57" s="175"/>
      <c r="U57" s="183" t="s">
        <v>27</v>
      </c>
      <c r="V57" s="175" t="s">
        <v>74</v>
      </c>
      <c r="W57" s="171"/>
      <c r="X57" s="171"/>
      <c r="Y57" s="171"/>
      <c r="Z57" s="182"/>
      <c r="AA57" s="177" t="s">
        <v>78</v>
      </c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71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26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4:C4"/>
    <mergeCell ref="E4:T4"/>
    <mergeCell ref="A2:C2"/>
    <mergeCell ref="E2:I2"/>
    <mergeCell ref="J2:T2"/>
    <mergeCell ref="A3:C3"/>
    <mergeCell ref="E3:T3"/>
    <mergeCell ref="A5:C5"/>
    <mergeCell ref="E5:I5"/>
    <mergeCell ref="J5:T5"/>
    <mergeCell ref="A6:C6"/>
    <mergeCell ref="E6:I6"/>
    <mergeCell ref="J6:T6"/>
    <mergeCell ref="A7:C7"/>
    <mergeCell ref="D7:T7"/>
    <mergeCell ref="A9:A11"/>
    <mergeCell ref="B9:B11"/>
    <mergeCell ref="C9:C11"/>
    <mergeCell ref="D9:D11"/>
    <mergeCell ref="E9:E11"/>
    <mergeCell ref="F9:T9"/>
    <mergeCell ref="AC9:AC11"/>
    <mergeCell ref="U9:U11"/>
    <mergeCell ref="V9:V11"/>
    <mergeCell ref="W9:W11"/>
    <mergeCell ref="X9:X11"/>
    <mergeCell ref="AA9:AA11"/>
    <mergeCell ref="AB9:AB11"/>
  </mergeCells>
  <phoneticPr fontId="45"/>
  <conditionalFormatting sqref="B58:AC114 B12:B15 AB12:AC24 B21:B24 B26:B57 AB26:AC57">
    <cfRule type="expression" dxfId="444" priority="29">
      <formula>NOT(ISBLANK(INDIRECT("RC28",FALSE)))</formula>
    </cfRule>
  </conditionalFormatting>
  <conditionalFormatting sqref="C58:AC114 AB12:AC24 AB26:AC57">
    <cfRule type="expression" dxfId="443" priority="28" stopIfTrue="1">
      <formula>AND(ISBLANK(INDIRECT("RC2",FALSE)),NOT(ISBLANK(INDIRECT("RC3",FALSE))))</formula>
    </cfRule>
  </conditionalFormatting>
  <conditionalFormatting sqref="B25 AB25:AC25">
    <cfRule type="expression" dxfId="442" priority="27">
      <formula>NOT(ISBLANK(INDIRECT("RC28",FALSE)))</formula>
    </cfRule>
  </conditionalFormatting>
  <conditionalFormatting sqref="AB25:AC25">
    <cfRule type="expression" dxfId="441" priority="26" stopIfTrue="1">
      <formula>AND(ISBLANK(INDIRECT("RC2",FALSE)),NOT(ISBLANK(INDIRECT("RC3",FALSE))))</formula>
    </cfRule>
  </conditionalFormatting>
  <conditionalFormatting sqref="C12:AA12 E13:AA13 C14:AA14">
    <cfRule type="expression" dxfId="440" priority="22">
      <formula>NOT(ISBLANK(INDIRECT("RC28",FALSE)))</formula>
    </cfRule>
  </conditionalFormatting>
  <conditionalFormatting sqref="C12:AA12 E13:AA13 C14:AA14">
    <cfRule type="expression" dxfId="439" priority="23" stopIfTrue="1">
      <formula>AND(ISBLANK(INDIRECT("RC2",FALSE)),NOT(ISBLANK(INDIRECT("RC3",FALSE))))</formula>
    </cfRule>
  </conditionalFormatting>
  <conditionalFormatting sqref="C13:D13">
    <cfRule type="expression" dxfId="438" priority="24" stopIfTrue="1">
      <formula>AND(ISBLANK(INDIRECT("RC2",FALSE)),NOT(ISBLANK(INDIRECT("RC3",FALSE))))</formula>
    </cfRule>
  </conditionalFormatting>
  <conditionalFormatting sqref="C13:D13">
    <cfRule type="expression" dxfId="437" priority="25">
      <formula>NOT(ISBLANK(INDIRECT("RC28",FALSE)))</formula>
    </cfRule>
  </conditionalFormatting>
  <conditionalFormatting sqref="B16:B20">
    <cfRule type="expression" dxfId="436" priority="21">
      <formula>NOT(ISBLANK(INDIRECT("RC28",FALSE)))</formula>
    </cfRule>
  </conditionalFormatting>
  <conditionalFormatting sqref="C15:AA57">
    <cfRule type="expression" dxfId="435" priority="3">
      <formula>NOT(ISBLANK(INDIRECT("RC28",FALSE)))</formula>
    </cfRule>
  </conditionalFormatting>
  <conditionalFormatting sqref="C15:AA57">
    <cfRule type="expression" dxfId="434" priority="4" stopIfTrue="1">
      <formula>AND(ISBLANK(INDIRECT("RC2",FALSE)),NOT(ISBLANK(INDIRECT("RC3",FALSE))))</formula>
    </cfRule>
  </conditionalFormatting>
  <conditionalFormatting sqref="C15:D15">
    <cfRule type="expression" dxfId="433" priority="5" stopIfTrue="1">
      <formula>AND(ISBLANK(INDIRECT("RC2",FALSE)),NOT(ISBLANK(INDIRECT("RC3",FALSE))))</formula>
    </cfRule>
  </conditionalFormatting>
  <conditionalFormatting sqref="C15:D15">
    <cfRule type="expression" dxfId="432" priority="6">
      <formula>NOT(ISBLANK(INDIRECT("RC28",FALSE)))</formula>
    </cfRule>
  </conditionalFormatting>
  <conditionalFormatting sqref="C16:D16 AA16 C21:D21 C27:D27">
    <cfRule type="expression" dxfId="431" priority="7" stopIfTrue="1">
      <formula>AND(ISBLANK(INDIRECT("RC2",FALSE)),NOT(ISBLANK(INDIRECT("RC3",FALSE))))</formula>
    </cfRule>
  </conditionalFormatting>
  <conditionalFormatting sqref="C16:D16 AA16 C21:D21 C27:D27">
    <cfRule type="expression" dxfId="430" priority="8">
      <formula>NOT(ISBLANK(INDIRECT("RC28",FALSE)))</formula>
    </cfRule>
  </conditionalFormatting>
  <conditionalFormatting sqref="E21:AA22 C22:D22 E33:AA38 C34:D34 C36:D38">
    <cfRule type="expression" dxfId="429" priority="9">
      <formula>NOT(ISBLANK(INDIRECT("RC28",FALSE)))</formula>
    </cfRule>
  </conditionalFormatting>
  <conditionalFormatting sqref="E21:AA22 C22:D22 E33:AA38 C34:D34 C36:D38">
    <cfRule type="expression" dxfId="428" priority="10" stopIfTrue="1">
      <formula>AND(ISBLANK(INDIRECT("RC2",FALSE)),NOT(ISBLANK(INDIRECT("RC3",FALSE))))</formula>
    </cfRule>
  </conditionalFormatting>
  <conditionalFormatting sqref="C21:D21 C33:D33 C35:D35">
    <cfRule type="expression" dxfId="427" priority="11" stopIfTrue="1">
      <formula>AND(ISBLANK(INDIRECT("RC2",FALSE)),NOT(ISBLANK(INDIRECT("RC3",FALSE))))</formula>
    </cfRule>
  </conditionalFormatting>
  <conditionalFormatting sqref="C21:D21 C33:D33 C35:D35">
    <cfRule type="expression" dxfId="426" priority="12">
      <formula>NOT(ISBLANK(INDIRECT("RC28",FALSE)))</formula>
    </cfRule>
  </conditionalFormatting>
  <conditionalFormatting sqref="C22:D22 C34:D34 C36:D38">
    <cfRule type="expression" dxfId="425" priority="13" stopIfTrue="1">
      <formula>AND(ISBLANK(INDIRECT("RC2",FALSE)),NOT(ISBLANK(INDIRECT("RC3",FALSE))))</formula>
    </cfRule>
  </conditionalFormatting>
  <conditionalFormatting sqref="C22:D22 C34:D34 C36:D38">
    <cfRule type="expression" dxfId="424" priority="14">
      <formula>NOT(ISBLANK(INDIRECT("RC28",FALSE)))</formula>
    </cfRule>
  </conditionalFormatting>
  <conditionalFormatting sqref="C30:D30 E26:AA26 C32:D32 E32:AA34 C34:D34">
    <cfRule type="expression" dxfId="423" priority="15">
      <formula>NOT(ISBLANK(INDIRECT("RC28",FALSE)))</formula>
    </cfRule>
  </conditionalFormatting>
  <conditionalFormatting sqref="C30:D30 E26:AA26 C32:D32 E32:AA34 C34:D34">
    <cfRule type="expression" dxfId="422" priority="16" stopIfTrue="1">
      <formula>AND(ISBLANK(INDIRECT("RC2",FALSE)),NOT(ISBLANK(INDIRECT("RC3",FALSE))))</formula>
    </cfRule>
  </conditionalFormatting>
  <conditionalFormatting sqref="C20:D20 AA20 C26:D26 C33:D33">
    <cfRule type="expression" dxfId="421" priority="17" stopIfTrue="1">
      <formula>AND(ISBLANK(INDIRECT("RC2",FALSE)),NOT(ISBLANK(INDIRECT("RC3",FALSE))))</formula>
    </cfRule>
  </conditionalFormatting>
  <conditionalFormatting sqref="C20:D20 AA20 C26:D26 C33:D33">
    <cfRule type="expression" dxfId="420" priority="18">
      <formula>NOT(ISBLANK(INDIRECT("RC28",FALSE)))</formula>
    </cfRule>
  </conditionalFormatting>
  <conditionalFormatting sqref="C30:D30 AA30 C32:D32 C34:D34">
    <cfRule type="expression" dxfId="419" priority="19" stopIfTrue="1">
      <formula>AND(ISBLANK(INDIRECT("RC2",FALSE)),NOT(ISBLANK(INDIRECT("RC3",FALSE))))</formula>
    </cfRule>
  </conditionalFormatting>
  <conditionalFormatting sqref="C30:D30 AA30 C32:D32 C34:D34">
    <cfRule type="expression" dxfId="418" priority="20">
      <formula>NOT(ISBLANK(INDIRECT("RC28",FALSE)))</formula>
    </cfRule>
  </conditionalFormatting>
  <conditionalFormatting sqref="Z27">
    <cfRule type="expression" dxfId="417" priority="1">
      <formula>NOT(ISBLANK(INDIRECT("RC28",FALSE)))</formula>
    </cfRule>
  </conditionalFormatting>
  <conditionalFormatting sqref="Z27">
    <cfRule type="expression" dxfId="416" priority="2" stopIfTrue="1">
      <formula>AND(ISBLANK(INDIRECT("RC2",FALSE)),NOT(ISBLANK(INDIRECT("RC3",FALSE))))</formula>
    </cfRule>
  </conditionalFormatting>
  <dataValidations count="6">
    <dataValidation type="list" allowBlank="1" showInputMessage="1" showErrorMessage="1" sqref="F11:T11" xr:uid="{A63AB576-BAE8-4F56-A5FE-3DB70AF178FD}">
      <formula1>"IN,uIN,BR,uBR"</formula1>
    </dataValidation>
    <dataValidation type="list" allowBlank="1" showInputMessage="1" showErrorMessage="1" sqref="AC12:AC114" xr:uid="{5EDA1FDD-59C2-44BF-9795-2CE2EF4810A8}">
      <formula1>"親,子"</formula1>
    </dataValidation>
    <dataValidation type="list" allowBlank="1" showInputMessage="1" showErrorMessage="1" sqref="V58:V114" xr:uid="{7BC2A805-1E07-4590-BEA3-EB859159EC79}">
      <formula1>"TEXT,VARCHAR,CHAR,NUMERIC,integer,boolean,bytea,DATE(時刻無),TIMESTAMP"</formula1>
    </dataValidation>
    <dataValidation type="list" allowBlank="1" showInputMessage="1" showErrorMessage="1" sqref="AB12:AB114 J5:T5 U58:U114" xr:uid="{8F7DA765-6D69-4523-8FF8-C82A568E25FA}">
      <formula1>"○"</formula1>
    </dataValidation>
    <dataValidation type="list" allowBlank="1" showErrorMessage="1" sqref="U12:U57" xr:uid="{363B70CF-6F90-4252-A7C7-86E06544B3DC}">
      <formula1>"○"</formula1>
    </dataValidation>
    <dataValidation type="list" allowBlank="1" showErrorMessage="1" sqref="V12:V57" xr:uid="{C367B06E-7866-4274-BAEC-325331453542}">
      <formula1>"TEXT,VARCHAR,CHAR,NUMERIC,integer,boolean,bytea,DATE(時刻無),TIMESTAMP"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8">
    <tabColor rgb="FFFFFF00"/>
    <pageSetUpPr fitToPage="1"/>
  </sheetPr>
  <dimension ref="A1:AG193"/>
  <sheetViews>
    <sheetView showGridLines="0" zoomScale="123" zoomScaleNormal="123" zoomScaleSheetLayoutView="100" workbookViewId="0">
      <selection activeCell="D13" sqref="D13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360</v>
      </c>
      <c r="B2" s="241"/>
      <c r="C2" s="242"/>
      <c r="D2" s="58" t="s">
        <v>258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367</v>
      </c>
      <c r="B3" s="235"/>
      <c r="C3" s="236"/>
      <c r="D3" s="57" t="s">
        <v>256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363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3000000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259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368</v>
      </c>
    </row>
    <row r="9" spans="1:33" ht="12" customHeight="1">
      <c r="A9" s="267"/>
      <c r="B9" s="270" t="s">
        <v>7</v>
      </c>
      <c r="C9" s="270" t="s">
        <v>8</v>
      </c>
      <c r="D9" s="273" t="s">
        <v>369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370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371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108">
        <f t="shared" ref="B12:B75" si="0">ROW()-11</f>
        <v>1</v>
      </c>
      <c r="C12" s="91" t="s">
        <v>260</v>
      </c>
      <c r="D12" s="92" t="s">
        <v>261</v>
      </c>
      <c r="E12" s="92">
        <v>1</v>
      </c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33</v>
      </c>
      <c r="W12" s="95">
        <v>100</v>
      </c>
      <c r="X12" s="92"/>
      <c r="Y12" s="96"/>
      <c r="Z12" s="96">
        <v>50</v>
      </c>
      <c r="AA12" s="97" t="s">
        <v>261</v>
      </c>
      <c r="AB12" s="40"/>
      <c r="AC12" s="40"/>
      <c r="AD12" s="27"/>
      <c r="AE12" s="27"/>
      <c r="AG12" s="4"/>
    </row>
    <row r="13" spans="1:33" s="21" customFormat="1">
      <c r="A13" s="25"/>
      <c r="B13" s="108">
        <f t="shared" si="0"/>
        <v>2</v>
      </c>
      <c r="C13" s="98" t="s">
        <v>262</v>
      </c>
      <c r="D13" s="99" t="s">
        <v>263</v>
      </c>
      <c r="E13" s="100">
        <v>2</v>
      </c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2" t="s">
        <v>27</v>
      </c>
      <c r="V13" s="100" t="s">
        <v>33</v>
      </c>
      <c r="W13" s="100">
        <v>100</v>
      </c>
      <c r="X13" s="100"/>
      <c r="Y13" s="103"/>
      <c r="Z13" s="104">
        <v>40</v>
      </c>
      <c r="AA13" s="105" t="s">
        <v>263</v>
      </c>
      <c r="AB13" s="40"/>
      <c r="AC13" s="40"/>
      <c r="AD13" s="42" t="s">
        <v>296</v>
      </c>
      <c r="AE13" s="33" t="s">
        <v>53</v>
      </c>
      <c r="AG13" s="4"/>
    </row>
    <row r="14" spans="1:33" s="21" customFormat="1">
      <c r="A14" s="205" t="s">
        <v>519</v>
      </c>
      <c r="B14" s="206">
        <f t="shared" si="0"/>
        <v>3</v>
      </c>
      <c r="C14" s="225" t="s">
        <v>299</v>
      </c>
      <c r="D14" s="221" t="s">
        <v>300</v>
      </c>
      <c r="E14" s="221">
        <v>3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2" t="s">
        <v>27</v>
      </c>
      <c r="V14" s="221" t="s">
        <v>74</v>
      </c>
      <c r="W14" s="221"/>
      <c r="X14" s="221"/>
      <c r="Y14" s="223"/>
      <c r="Z14" s="223"/>
      <c r="AA14" s="224" t="s">
        <v>300</v>
      </c>
      <c r="AB14" s="212"/>
      <c r="AC14" s="212"/>
      <c r="AD14" s="27"/>
      <c r="AE14" s="33" t="s">
        <v>75</v>
      </c>
      <c r="AF14" s="4"/>
      <c r="AG14" s="4"/>
    </row>
    <row r="15" spans="1:33" s="21" customFormat="1">
      <c r="A15" s="205" t="s">
        <v>519</v>
      </c>
      <c r="B15" s="206">
        <f t="shared" si="0"/>
        <v>4</v>
      </c>
      <c r="C15" s="225" t="s">
        <v>97</v>
      </c>
      <c r="D15" s="221" t="s">
        <v>98</v>
      </c>
      <c r="E15" s="221"/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1"/>
      <c r="S15" s="221"/>
      <c r="T15" s="221"/>
      <c r="U15" s="222" t="s">
        <v>27</v>
      </c>
      <c r="V15" s="221" t="s">
        <v>33</v>
      </c>
      <c r="W15" s="221">
        <v>50</v>
      </c>
      <c r="X15" s="221"/>
      <c r="Y15" s="223"/>
      <c r="Z15" s="223">
        <v>30</v>
      </c>
      <c r="AA15" s="224" t="s">
        <v>98</v>
      </c>
      <c r="AB15" s="212"/>
      <c r="AC15" s="212"/>
      <c r="AD15" s="27"/>
      <c r="AE15" s="33" t="s">
        <v>372</v>
      </c>
      <c r="AF15" s="4"/>
      <c r="AG15" s="4"/>
    </row>
    <row r="16" spans="1:33" s="21" customFormat="1">
      <c r="A16" s="205" t="s">
        <v>519</v>
      </c>
      <c r="B16" s="206">
        <f t="shared" si="0"/>
        <v>5</v>
      </c>
      <c r="C16" s="218" t="s">
        <v>99</v>
      </c>
      <c r="D16" s="214" t="s">
        <v>100</v>
      </c>
      <c r="E16" s="214"/>
      <c r="F16" s="214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5" t="s">
        <v>27</v>
      </c>
      <c r="V16" s="214" t="s">
        <v>33</v>
      </c>
      <c r="W16" s="214">
        <v>100</v>
      </c>
      <c r="X16" s="214"/>
      <c r="Y16" s="216"/>
      <c r="Z16" s="216">
        <v>60</v>
      </c>
      <c r="AA16" s="217" t="s">
        <v>100</v>
      </c>
      <c r="AB16" s="212"/>
      <c r="AC16" s="212"/>
      <c r="AD16" s="23"/>
      <c r="AE16" s="33" t="s">
        <v>297</v>
      </c>
      <c r="AF16" s="4"/>
      <c r="AG16" s="4"/>
    </row>
    <row r="17" spans="1:33" s="21" customFormat="1">
      <c r="A17" s="205" t="s">
        <v>519</v>
      </c>
      <c r="B17" s="206">
        <f t="shared" si="0"/>
        <v>6</v>
      </c>
      <c r="C17" s="218" t="s">
        <v>101</v>
      </c>
      <c r="D17" s="214" t="s">
        <v>102</v>
      </c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5" t="s">
        <v>27</v>
      </c>
      <c r="V17" s="214" t="s">
        <v>33</v>
      </c>
      <c r="W17" s="214">
        <v>50</v>
      </c>
      <c r="X17" s="214"/>
      <c r="Y17" s="216"/>
      <c r="Z17" s="216">
        <v>30</v>
      </c>
      <c r="AA17" s="217" t="s">
        <v>102</v>
      </c>
      <c r="AB17" s="212"/>
      <c r="AC17" s="212"/>
      <c r="AD17" s="23"/>
      <c r="AE17" s="23"/>
      <c r="AF17" s="4"/>
      <c r="AG17" s="4"/>
    </row>
    <row r="18" spans="1:33" s="21" customFormat="1">
      <c r="A18" s="25"/>
      <c r="B18" s="108">
        <f t="shared" si="0"/>
        <v>7</v>
      </c>
      <c r="C18" s="120" t="s">
        <v>301</v>
      </c>
      <c r="D18" s="116" t="s">
        <v>302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22"/>
      <c r="V18" s="116" t="s">
        <v>33</v>
      </c>
      <c r="W18" s="116">
        <v>4</v>
      </c>
      <c r="X18" s="116"/>
      <c r="Y18" s="118"/>
      <c r="Z18" s="121">
        <v>4</v>
      </c>
      <c r="AA18" s="119" t="s">
        <v>302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108">
        <f t="shared" si="0"/>
        <v>8</v>
      </c>
      <c r="C19" s="120" t="s">
        <v>303</v>
      </c>
      <c r="D19" s="116" t="s">
        <v>304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22"/>
      <c r="V19" s="116" t="s">
        <v>33</v>
      </c>
      <c r="W19" s="116">
        <v>2</v>
      </c>
      <c r="X19" s="116"/>
      <c r="Y19" s="118"/>
      <c r="Z19" s="121">
        <v>2</v>
      </c>
      <c r="AA19" s="119" t="s">
        <v>304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108">
        <f t="shared" si="0"/>
        <v>9</v>
      </c>
      <c r="C20" s="120" t="s">
        <v>305</v>
      </c>
      <c r="D20" s="116" t="s">
        <v>306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7"/>
      <c r="V20" s="116" t="s">
        <v>103</v>
      </c>
      <c r="W20" s="116"/>
      <c r="X20" s="116"/>
      <c r="Y20" s="118"/>
      <c r="Z20" s="121">
        <v>100</v>
      </c>
      <c r="AA20" s="119" t="s">
        <v>306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108">
        <f t="shared" si="0"/>
        <v>10</v>
      </c>
      <c r="C21" s="114" t="s">
        <v>307</v>
      </c>
      <c r="D21" s="115" t="s">
        <v>308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7"/>
      <c r="V21" s="116" t="s">
        <v>103</v>
      </c>
      <c r="W21" s="116"/>
      <c r="X21" s="116"/>
      <c r="Y21" s="118"/>
      <c r="Z21" s="121">
        <v>200</v>
      </c>
      <c r="AA21" s="123" t="s">
        <v>308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108">
        <f t="shared" si="0"/>
        <v>11</v>
      </c>
      <c r="C22" s="120" t="s">
        <v>104</v>
      </c>
      <c r="D22" s="116" t="s">
        <v>105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7"/>
      <c r="V22" s="116" t="s">
        <v>106</v>
      </c>
      <c r="W22" s="116">
        <v>10</v>
      </c>
      <c r="X22" s="116">
        <v>5</v>
      </c>
      <c r="Y22" s="118"/>
      <c r="Z22" s="118"/>
      <c r="AA22" s="119" t="s">
        <v>105</v>
      </c>
      <c r="AB22" s="40"/>
      <c r="AC22" s="40"/>
      <c r="AD22" s="27"/>
      <c r="AE22" s="27"/>
      <c r="AF22" s="4"/>
      <c r="AG22" s="4"/>
    </row>
    <row r="23" spans="1:33" s="21" customFormat="1">
      <c r="A23" s="25"/>
      <c r="B23" s="108">
        <f t="shared" si="0"/>
        <v>12</v>
      </c>
      <c r="C23" s="120" t="s">
        <v>107</v>
      </c>
      <c r="D23" s="116" t="s">
        <v>108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7"/>
      <c r="V23" s="116" t="s">
        <v>106</v>
      </c>
      <c r="W23" s="116">
        <v>10</v>
      </c>
      <c r="X23" s="116">
        <v>5</v>
      </c>
      <c r="Y23" s="118"/>
      <c r="Z23" s="118"/>
      <c r="AA23" s="119" t="s">
        <v>108</v>
      </c>
      <c r="AB23" s="40"/>
      <c r="AC23" s="40"/>
      <c r="AD23" s="27"/>
      <c r="AE23" s="27"/>
      <c r="AF23" s="4"/>
      <c r="AG23" s="4"/>
    </row>
    <row r="24" spans="1:33" s="21" customFormat="1">
      <c r="A24" s="25"/>
      <c r="B24" s="108">
        <f t="shared" si="0"/>
        <v>13</v>
      </c>
      <c r="C24" s="120" t="s">
        <v>309</v>
      </c>
      <c r="D24" s="116" t="s">
        <v>310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7"/>
      <c r="V24" s="116" t="s">
        <v>103</v>
      </c>
      <c r="W24" s="116"/>
      <c r="X24" s="116"/>
      <c r="Y24" s="118"/>
      <c r="Z24" s="121">
        <v>500</v>
      </c>
      <c r="AA24" s="119" t="s">
        <v>310</v>
      </c>
      <c r="AB24" s="40"/>
      <c r="AC24" s="40"/>
      <c r="AD24" s="23"/>
      <c r="AE24" s="23"/>
      <c r="AF24" s="4"/>
      <c r="AG24" s="4"/>
    </row>
    <row r="25" spans="1:33" s="21" customFormat="1">
      <c r="A25" s="25"/>
      <c r="B25" s="108">
        <f t="shared" si="0"/>
        <v>14</v>
      </c>
      <c r="C25" s="120" t="s">
        <v>111</v>
      </c>
      <c r="D25" s="116" t="s">
        <v>311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7"/>
      <c r="V25" s="116" t="s">
        <v>103</v>
      </c>
      <c r="W25" s="116"/>
      <c r="X25" s="116"/>
      <c r="Y25" s="118"/>
      <c r="Z25" s="121">
        <v>10</v>
      </c>
      <c r="AA25" s="119" t="s">
        <v>311</v>
      </c>
      <c r="AB25" s="40"/>
      <c r="AC25" s="40"/>
      <c r="AD25" s="23"/>
      <c r="AE25" s="23"/>
      <c r="AF25" s="4"/>
      <c r="AG25" s="4"/>
    </row>
    <row r="26" spans="1:33" s="21" customFormat="1">
      <c r="A26" s="25"/>
      <c r="B26" s="108">
        <f t="shared" si="0"/>
        <v>15</v>
      </c>
      <c r="C26" s="114" t="s">
        <v>312</v>
      </c>
      <c r="D26" s="115" t="s">
        <v>313</v>
      </c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24"/>
      <c r="V26" s="115" t="s">
        <v>103</v>
      </c>
      <c r="W26" s="115"/>
      <c r="X26" s="115"/>
      <c r="Y26" s="125"/>
      <c r="Z26" s="126">
        <v>500</v>
      </c>
      <c r="AA26" s="123" t="s">
        <v>313</v>
      </c>
      <c r="AB26" s="40"/>
      <c r="AC26" s="40"/>
      <c r="AD26" s="23"/>
      <c r="AE26" s="23"/>
      <c r="AF26" s="4"/>
      <c r="AG26" s="4"/>
    </row>
    <row r="27" spans="1:33" s="21" customFormat="1">
      <c r="A27" s="25"/>
      <c r="B27" s="108">
        <f t="shared" si="0"/>
        <v>16</v>
      </c>
      <c r="C27" s="114" t="s">
        <v>112</v>
      </c>
      <c r="D27" s="115" t="s">
        <v>113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7"/>
      <c r="V27" s="116" t="s">
        <v>103</v>
      </c>
      <c r="W27" s="116"/>
      <c r="X27" s="116"/>
      <c r="Y27" s="118"/>
      <c r="Z27" s="121">
        <v>100</v>
      </c>
      <c r="AA27" s="119" t="s">
        <v>113</v>
      </c>
      <c r="AB27" s="40"/>
      <c r="AC27" s="40"/>
      <c r="AD27" s="23"/>
      <c r="AE27" s="23"/>
      <c r="AF27" s="4"/>
      <c r="AG27" s="4"/>
    </row>
    <row r="28" spans="1:33" s="21" customFormat="1">
      <c r="A28" s="25"/>
      <c r="B28" s="108">
        <f t="shared" si="0"/>
        <v>17</v>
      </c>
      <c r="C28" s="114" t="s">
        <v>139</v>
      </c>
      <c r="D28" s="127" t="s">
        <v>140</v>
      </c>
      <c r="E28" s="128"/>
      <c r="F28" s="128"/>
      <c r="G28" s="128"/>
      <c r="H28" s="128"/>
      <c r="I28" s="128"/>
      <c r="J28" s="128"/>
      <c r="K28" s="129"/>
      <c r="L28" s="128"/>
      <c r="M28" s="128"/>
      <c r="N28" s="128"/>
      <c r="O28" s="115"/>
      <c r="P28" s="128"/>
      <c r="Q28" s="128"/>
      <c r="R28" s="128"/>
      <c r="S28" s="127"/>
      <c r="T28" s="128"/>
      <c r="U28" s="128"/>
      <c r="V28" s="128" t="s">
        <v>103</v>
      </c>
      <c r="W28" s="115"/>
      <c r="X28" s="115"/>
      <c r="Y28" s="115"/>
      <c r="Z28" s="121">
        <v>100</v>
      </c>
      <c r="AA28" s="130" t="s">
        <v>140</v>
      </c>
      <c r="AB28" s="40"/>
      <c r="AC28" s="40"/>
      <c r="AD28" s="23"/>
      <c r="AE28" s="23"/>
      <c r="AF28" s="4"/>
      <c r="AG28" s="4"/>
    </row>
    <row r="29" spans="1:33" s="21" customFormat="1">
      <c r="A29" s="25"/>
      <c r="B29" s="108">
        <f t="shared" si="0"/>
        <v>18</v>
      </c>
      <c r="C29" s="114" t="s">
        <v>147</v>
      </c>
      <c r="D29" s="127" t="s">
        <v>148</v>
      </c>
      <c r="E29" s="128"/>
      <c r="F29" s="128"/>
      <c r="G29" s="128"/>
      <c r="H29" s="128"/>
      <c r="I29" s="128"/>
      <c r="J29" s="128"/>
      <c r="K29" s="129"/>
      <c r="L29" s="128"/>
      <c r="M29" s="128"/>
      <c r="N29" s="128"/>
      <c r="O29" s="115"/>
      <c r="P29" s="128"/>
      <c r="Q29" s="128"/>
      <c r="R29" s="128"/>
      <c r="S29" s="127"/>
      <c r="T29" s="128"/>
      <c r="U29" s="128"/>
      <c r="V29" s="128" t="s">
        <v>103</v>
      </c>
      <c r="W29" s="115"/>
      <c r="X29" s="115"/>
      <c r="Y29" s="115"/>
      <c r="Z29" s="126">
        <v>50</v>
      </c>
      <c r="AA29" s="130" t="s">
        <v>148</v>
      </c>
      <c r="AB29" s="40"/>
      <c r="AC29" s="40"/>
      <c r="AD29" s="23"/>
      <c r="AE29" s="23"/>
      <c r="AF29" s="4"/>
      <c r="AG29" s="4"/>
    </row>
    <row r="30" spans="1:33" s="21" customFormat="1">
      <c r="A30" s="25"/>
      <c r="B30" s="108">
        <f t="shared" si="0"/>
        <v>19</v>
      </c>
      <c r="C30" s="114" t="s">
        <v>373</v>
      </c>
      <c r="D30" s="127" t="s">
        <v>315</v>
      </c>
      <c r="E30" s="131"/>
      <c r="F30" s="131"/>
      <c r="G30" s="131"/>
      <c r="H30" s="131"/>
      <c r="I30" s="131"/>
      <c r="J30" s="131"/>
      <c r="K30" s="132"/>
      <c r="L30" s="131"/>
      <c r="M30" s="131"/>
      <c r="N30" s="131"/>
      <c r="O30" s="116"/>
      <c r="P30" s="131"/>
      <c r="Q30" s="131"/>
      <c r="R30" s="131"/>
      <c r="S30" s="133"/>
      <c r="T30" s="131"/>
      <c r="U30" s="131"/>
      <c r="V30" s="131" t="s">
        <v>103</v>
      </c>
      <c r="W30" s="116"/>
      <c r="X30" s="116"/>
      <c r="Y30" s="134"/>
      <c r="Z30" s="121">
        <v>100</v>
      </c>
      <c r="AA30" s="130" t="s">
        <v>315</v>
      </c>
      <c r="AB30" s="40"/>
      <c r="AC30" s="40"/>
      <c r="AD30" s="23"/>
      <c r="AE30" s="23"/>
      <c r="AF30" s="4"/>
      <c r="AG30" s="4"/>
    </row>
    <row r="31" spans="1:33" s="21" customFormat="1">
      <c r="A31" s="25"/>
      <c r="B31" s="108">
        <f t="shared" si="0"/>
        <v>20</v>
      </c>
      <c r="C31" s="114" t="s">
        <v>316</v>
      </c>
      <c r="D31" s="115" t="s">
        <v>317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7"/>
      <c r="V31" s="116" t="s">
        <v>103</v>
      </c>
      <c r="W31" s="116"/>
      <c r="X31" s="116"/>
      <c r="Y31" s="118"/>
      <c r="Z31" s="121">
        <v>100</v>
      </c>
      <c r="AA31" s="123" t="s">
        <v>318</v>
      </c>
      <c r="AB31" s="40"/>
      <c r="AC31" s="40"/>
      <c r="AD31" s="23"/>
      <c r="AE31" s="23"/>
      <c r="AF31" s="4"/>
      <c r="AG31" s="4"/>
    </row>
    <row r="32" spans="1:33" s="21" customFormat="1">
      <c r="A32" s="25"/>
      <c r="B32" s="108">
        <f t="shared" si="0"/>
        <v>21</v>
      </c>
      <c r="C32" s="120" t="s">
        <v>109</v>
      </c>
      <c r="D32" s="116" t="s">
        <v>110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7"/>
      <c r="V32" s="116" t="s">
        <v>103</v>
      </c>
      <c r="W32" s="116"/>
      <c r="X32" s="116"/>
      <c r="Y32" s="118"/>
      <c r="Z32" s="121">
        <v>50</v>
      </c>
      <c r="AA32" s="119" t="s">
        <v>110</v>
      </c>
      <c r="AB32" s="40"/>
      <c r="AC32" s="40"/>
      <c r="AD32" s="23"/>
      <c r="AE32" s="23"/>
      <c r="AF32" s="4"/>
      <c r="AG32" s="4"/>
    </row>
    <row r="33" spans="1:33" s="21" customFormat="1">
      <c r="A33" s="25"/>
      <c r="B33" s="108">
        <f t="shared" si="0"/>
        <v>22</v>
      </c>
      <c r="C33" s="114" t="s">
        <v>114</v>
      </c>
      <c r="D33" s="115" t="s">
        <v>115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7"/>
      <c r="V33" s="116" t="s">
        <v>103</v>
      </c>
      <c r="W33" s="116"/>
      <c r="X33" s="116"/>
      <c r="Y33" s="118"/>
      <c r="Z33" s="121">
        <v>50</v>
      </c>
      <c r="AA33" s="119" t="s">
        <v>115</v>
      </c>
      <c r="AB33" s="40"/>
      <c r="AC33" s="40"/>
      <c r="AD33" s="23"/>
      <c r="AE33" s="23"/>
      <c r="AF33" s="4"/>
      <c r="AG33" s="4"/>
    </row>
    <row r="34" spans="1:33" s="21" customFormat="1">
      <c r="A34" s="25"/>
      <c r="B34" s="108">
        <f t="shared" si="0"/>
        <v>23</v>
      </c>
      <c r="C34" s="120" t="s">
        <v>116</v>
      </c>
      <c r="D34" s="116" t="s">
        <v>117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7"/>
      <c r="V34" s="116" t="s">
        <v>103</v>
      </c>
      <c r="W34" s="116"/>
      <c r="X34" s="116"/>
      <c r="Y34" s="118"/>
      <c r="Z34" s="121">
        <v>50</v>
      </c>
      <c r="AA34" s="119" t="s">
        <v>117</v>
      </c>
      <c r="AB34" s="40"/>
      <c r="AC34" s="40"/>
      <c r="AD34" s="23"/>
      <c r="AE34" s="23"/>
      <c r="AF34" s="4"/>
      <c r="AG34" s="4"/>
    </row>
    <row r="35" spans="1:33" s="21" customFormat="1">
      <c r="A35" s="25"/>
      <c r="B35" s="108">
        <f t="shared" si="0"/>
        <v>24</v>
      </c>
      <c r="C35" s="120" t="s">
        <v>118</v>
      </c>
      <c r="D35" s="116" t="s">
        <v>119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7"/>
      <c r="V35" s="116" t="s">
        <v>120</v>
      </c>
      <c r="W35" s="116"/>
      <c r="X35" s="116"/>
      <c r="Y35" s="118"/>
      <c r="Z35" s="118"/>
      <c r="AA35" s="119" t="s">
        <v>119</v>
      </c>
      <c r="AB35" s="40"/>
      <c r="AC35" s="40"/>
      <c r="AD35" s="23"/>
      <c r="AE35" s="23"/>
      <c r="AF35" s="4"/>
      <c r="AG35" s="4"/>
    </row>
    <row r="36" spans="1:33" s="21" customFormat="1">
      <c r="A36" s="25"/>
      <c r="B36" s="108">
        <f t="shared" si="0"/>
        <v>25</v>
      </c>
      <c r="C36" s="167" t="s">
        <v>121</v>
      </c>
      <c r="D36" s="116" t="s">
        <v>122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7"/>
      <c r="V36" s="116" t="s">
        <v>103</v>
      </c>
      <c r="W36" s="116"/>
      <c r="X36" s="116"/>
      <c r="Y36" s="118"/>
      <c r="Z36" s="121">
        <v>100</v>
      </c>
      <c r="AA36" s="119" t="s">
        <v>122</v>
      </c>
      <c r="AB36" s="40"/>
      <c r="AC36" s="40"/>
      <c r="AD36" s="23"/>
      <c r="AE36" s="23"/>
      <c r="AF36" s="4"/>
      <c r="AG36" s="4"/>
    </row>
    <row r="37" spans="1:33" s="21" customFormat="1">
      <c r="A37" s="25"/>
      <c r="B37" s="108">
        <f t="shared" si="0"/>
        <v>26</v>
      </c>
      <c r="C37" s="120" t="s">
        <v>123</v>
      </c>
      <c r="D37" s="116" t="s">
        <v>319</v>
      </c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7"/>
      <c r="V37" s="116" t="s">
        <v>103</v>
      </c>
      <c r="W37" s="116"/>
      <c r="X37" s="116"/>
      <c r="Y37" s="118"/>
      <c r="Z37" s="121">
        <v>50</v>
      </c>
      <c r="AA37" s="119" t="s">
        <v>124</v>
      </c>
      <c r="AB37" s="40"/>
      <c r="AC37" s="40"/>
      <c r="AD37" s="23"/>
      <c r="AE37" s="23"/>
      <c r="AF37" s="4"/>
      <c r="AG37" s="4"/>
    </row>
    <row r="38" spans="1:33" s="21" customFormat="1">
      <c r="A38" s="25"/>
      <c r="B38" s="108">
        <f t="shared" si="0"/>
        <v>27</v>
      </c>
      <c r="C38" s="114" t="s">
        <v>366</v>
      </c>
      <c r="D38" s="127" t="s">
        <v>321</v>
      </c>
      <c r="E38" s="128"/>
      <c r="F38" s="128"/>
      <c r="G38" s="128"/>
      <c r="H38" s="128"/>
      <c r="I38" s="128"/>
      <c r="J38" s="128"/>
      <c r="K38" s="129"/>
      <c r="L38" s="128"/>
      <c r="M38" s="128"/>
      <c r="N38" s="128"/>
      <c r="O38" s="115"/>
      <c r="P38" s="128"/>
      <c r="Q38" s="128"/>
      <c r="R38" s="128"/>
      <c r="S38" s="127"/>
      <c r="T38" s="128"/>
      <c r="U38" s="128"/>
      <c r="V38" s="128" t="s">
        <v>106</v>
      </c>
      <c r="W38" s="115">
        <v>3</v>
      </c>
      <c r="X38" s="115">
        <v>0</v>
      </c>
      <c r="Y38" s="115"/>
      <c r="Z38" s="135"/>
      <c r="AA38" s="130" t="s">
        <v>321</v>
      </c>
      <c r="AB38" s="40"/>
      <c r="AC38" s="40"/>
      <c r="AD38" s="23"/>
      <c r="AE38" s="23"/>
      <c r="AF38" s="4"/>
      <c r="AG38" s="4"/>
    </row>
    <row r="39" spans="1:33" s="21" customFormat="1">
      <c r="A39" s="25"/>
      <c r="B39" s="108">
        <f t="shared" si="0"/>
        <v>28</v>
      </c>
      <c r="C39" s="114" t="s">
        <v>322</v>
      </c>
      <c r="D39" s="127" t="s">
        <v>323</v>
      </c>
      <c r="E39" s="128"/>
      <c r="F39" s="128"/>
      <c r="G39" s="128"/>
      <c r="H39" s="128"/>
      <c r="I39" s="128"/>
      <c r="J39" s="128"/>
      <c r="K39" s="129"/>
      <c r="L39" s="128"/>
      <c r="M39" s="128"/>
      <c r="N39" s="128"/>
      <c r="O39" s="115"/>
      <c r="P39" s="128"/>
      <c r="Q39" s="128"/>
      <c r="R39" s="128"/>
      <c r="S39" s="127"/>
      <c r="T39" s="128"/>
      <c r="U39" s="128"/>
      <c r="V39" s="128" t="s">
        <v>106</v>
      </c>
      <c r="W39" s="115">
        <v>3</v>
      </c>
      <c r="X39" s="115">
        <v>0</v>
      </c>
      <c r="Y39" s="115"/>
      <c r="Z39" s="135"/>
      <c r="AA39" s="130" t="s">
        <v>323</v>
      </c>
      <c r="AB39" s="40"/>
      <c r="AC39" s="40"/>
      <c r="AD39" s="23"/>
      <c r="AE39" s="23"/>
      <c r="AF39" s="4"/>
      <c r="AG39" s="4"/>
    </row>
    <row r="40" spans="1:33" s="21" customFormat="1">
      <c r="A40" s="25"/>
      <c r="B40" s="108">
        <f t="shared" si="0"/>
        <v>29</v>
      </c>
      <c r="C40" s="120" t="s">
        <v>324</v>
      </c>
      <c r="D40" s="116" t="s">
        <v>325</v>
      </c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7"/>
      <c r="V40" s="116" t="s">
        <v>103</v>
      </c>
      <c r="W40" s="116"/>
      <c r="X40" s="116"/>
      <c r="Y40" s="118"/>
      <c r="Z40" s="121">
        <v>50</v>
      </c>
      <c r="AA40" s="119" t="s">
        <v>325</v>
      </c>
      <c r="AB40" s="40"/>
      <c r="AC40" s="40"/>
      <c r="AD40" s="23"/>
      <c r="AE40" s="23"/>
      <c r="AF40" s="4"/>
      <c r="AG40" s="4"/>
    </row>
    <row r="41" spans="1:33" s="21" customFormat="1">
      <c r="A41" s="25"/>
      <c r="B41" s="108">
        <f t="shared" si="0"/>
        <v>30</v>
      </c>
      <c r="C41" s="114" t="s">
        <v>125</v>
      </c>
      <c r="D41" s="115" t="s">
        <v>126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24"/>
      <c r="V41" s="115" t="s">
        <v>103</v>
      </c>
      <c r="W41" s="115"/>
      <c r="X41" s="115"/>
      <c r="Y41" s="125"/>
      <c r="Z41" s="126">
        <v>500</v>
      </c>
      <c r="AA41" s="123" t="s">
        <v>126</v>
      </c>
      <c r="AB41" s="40"/>
      <c r="AC41" s="40"/>
      <c r="AD41" s="23"/>
      <c r="AE41" s="23"/>
      <c r="AF41" s="4"/>
      <c r="AG41" s="4"/>
    </row>
    <row r="42" spans="1:33" s="21" customFormat="1">
      <c r="A42" s="25"/>
      <c r="B42" s="108">
        <f t="shared" si="0"/>
        <v>31</v>
      </c>
      <c r="C42" s="114" t="s">
        <v>127</v>
      </c>
      <c r="D42" s="127" t="s">
        <v>128</v>
      </c>
      <c r="E42" s="128"/>
      <c r="F42" s="128"/>
      <c r="G42" s="128"/>
      <c r="H42" s="128"/>
      <c r="I42" s="128"/>
      <c r="J42" s="128"/>
      <c r="K42" s="129"/>
      <c r="L42" s="128"/>
      <c r="M42" s="128"/>
      <c r="N42" s="128"/>
      <c r="O42" s="115"/>
      <c r="P42" s="128"/>
      <c r="Q42" s="128"/>
      <c r="R42" s="128"/>
      <c r="S42" s="127"/>
      <c r="T42" s="128"/>
      <c r="U42" s="128"/>
      <c r="V42" s="128" t="s">
        <v>103</v>
      </c>
      <c r="W42" s="115"/>
      <c r="X42" s="115"/>
      <c r="Y42" s="115"/>
      <c r="Z42" s="126">
        <v>10</v>
      </c>
      <c r="AA42" s="130" t="s">
        <v>128</v>
      </c>
      <c r="AB42" s="40"/>
      <c r="AC42" s="40"/>
      <c r="AD42" s="23"/>
      <c r="AE42" s="23"/>
      <c r="AF42" s="4"/>
      <c r="AG42" s="4"/>
    </row>
    <row r="43" spans="1:33" s="21" customFormat="1">
      <c r="A43" s="25"/>
      <c r="B43" s="108">
        <f t="shared" si="0"/>
        <v>32</v>
      </c>
      <c r="C43" s="114" t="s">
        <v>129</v>
      </c>
      <c r="D43" s="115" t="s">
        <v>130</v>
      </c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24"/>
      <c r="V43" s="115" t="s">
        <v>103</v>
      </c>
      <c r="W43" s="115"/>
      <c r="X43" s="115"/>
      <c r="Y43" s="125"/>
      <c r="Z43" s="126">
        <v>10</v>
      </c>
      <c r="AA43" s="123" t="s">
        <v>130</v>
      </c>
      <c r="AB43" s="40"/>
      <c r="AC43" s="40"/>
      <c r="AD43" s="23"/>
      <c r="AE43" s="23"/>
      <c r="AF43" s="4"/>
      <c r="AG43" s="4"/>
    </row>
    <row r="44" spans="1:33" s="21" customFormat="1">
      <c r="A44" s="25"/>
      <c r="B44" s="108">
        <f t="shared" si="0"/>
        <v>33</v>
      </c>
      <c r="C44" s="114" t="s">
        <v>131</v>
      </c>
      <c r="D44" s="127" t="s">
        <v>132</v>
      </c>
      <c r="E44" s="128"/>
      <c r="F44" s="128"/>
      <c r="G44" s="128"/>
      <c r="H44" s="128"/>
      <c r="I44" s="128"/>
      <c r="J44" s="128"/>
      <c r="K44" s="129"/>
      <c r="L44" s="128"/>
      <c r="M44" s="128"/>
      <c r="N44" s="128"/>
      <c r="O44" s="115"/>
      <c r="P44" s="128"/>
      <c r="Q44" s="128"/>
      <c r="R44" s="128"/>
      <c r="S44" s="127"/>
      <c r="T44" s="128"/>
      <c r="U44" s="128"/>
      <c r="V44" s="128" t="s">
        <v>103</v>
      </c>
      <c r="W44" s="115"/>
      <c r="X44" s="115"/>
      <c r="Y44" s="115"/>
      <c r="Z44" s="126">
        <v>10</v>
      </c>
      <c r="AA44" s="130" t="s">
        <v>132</v>
      </c>
      <c r="AB44" s="40"/>
      <c r="AC44" s="40"/>
      <c r="AD44" s="23"/>
      <c r="AE44" s="23"/>
      <c r="AF44" s="4"/>
      <c r="AG44" s="4"/>
    </row>
    <row r="45" spans="1:33" s="21" customFormat="1">
      <c r="A45" s="25"/>
      <c r="B45" s="108">
        <f t="shared" si="0"/>
        <v>34</v>
      </c>
      <c r="C45" s="114" t="s">
        <v>133</v>
      </c>
      <c r="D45" s="115" t="s">
        <v>134</v>
      </c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24"/>
      <c r="V45" s="115" t="s">
        <v>103</v>
      </c>
      <c r="W45" s="115"/>
      <c r="X45" s="115"/>
      <c r="Y45" s="125"/>
      <c r="Z45" s="126">
        <v>10</v>
      </c>
      <c r="AA45" s="123" t="s">
        <v>134</v>
      </c>
      <c r="AB45" s="40"/>
      <c r="AC45" s="40"/>
      <c r="AD45" s="23"/>
      <c r="AE45" s="23"/>
      <c r="AF45" s="4"/>
      <c r="AG45" s="4"/>
    </row>
    <row r="46" spans="1:33" s="21" customFormat="1">
      <c r="A46" s="25"/>
      <c r="B46" s="108">
        <f t="shared" si="0"/>
        <v>35</v>
      </c>
      <c r="C46" s="114" t="s">
        <v>135</v>
      </c>
      <c r="D46" s="127" t="s">
        <v>136</v>
      </c>
      <c r="E46" s="128"/>
      <c r="F46" s="128"/>
      <c r="G46" s="128"/>
      <c r="H46" s="128"/>
      <c r="I46" s="128"/>
      <c r="J46" s="128"/>
      <c r="K46" s="129"/>
      <c r="L46" s="128"/>
      <c r="M46" s="128"/>
      <c r="N46" s="128"/>
      <c r="O46" s="115"/>
      <c r="P46" s="128"/>
      <c r="Q46" s="128"/>
      <c r="R46" s="128"/>
      <c r="S46" s="127"/>
      <c r="T46" s="128"/>
      <c r="U46" s="128"/>
      <c r="V46" s="128" t="s">
        <v>106</v>
      </c>
      <c r="W46" s="115">
        <v>2</v>
      </c>
      <c r="X46" s="115">
        <v>0</v>
      </c>
      <c r="Y46" s="115"/>
      <c r="Z46" s="135"/>
      <c r="AA46" s="130" t="s">
        <v>136</v>
      </c>
      <c r="AB46" s="40"/>
      <c r="AC46" s="40"/>
      <c r="AD46" s="23"/>
      <c r="AE46" s="23"/>
      <c r="AF46" s="4"/>
      <c r="AG46" s="4"/>
    </row>
    <row r="47" spans="1:33" s="21" customFormat="1">
      <c r="A47" s="25"/>
      <c r="B47" s="108">
        <f t="shared" si="0"/>
        <v>36</v>
      </c>
      <c r="C47" s="137" t="s">
        <v>137</v>
      </c>
      <c r="D47" s="138" t="s">
        <v>138</v>
      </c>
      <c r="E47" s="139"/>
      <c r="F47" s="139"/>
      <c r="G47" s="139"/>
      <c r="H47" s="139"/>
      <c r="I47" s="139"/>
      <c r="J47" s="139"/>
      <c r="K47" s="140"/>
      <c r="L47" s="139"/>
      <c r="M47" s="139"/>
      <c r="N47" s="139"/>
      <c r="O47" s="141"/>
      <c r="P47" s="139"/>
      <c r="Q47" s="139"/>
      <c r="R47" s="139"/>
      <c r="S47" s="138"/>
      <c r="T47" s="139"/>
      <c r="U47" s="139"/>
      <c r="V47" s="139" t="s">
        <v>106</v>
      </c>
      <c r="W47" s="141">
        <v>2</v>
      </c>
      <c r="X47" s="141">
        <v>0</v>
      </c>
      <c r="Y47" s="141"/>
      <c r="Z47" s="142"/>
      <c r="AA47" s="143" t="s">
        <v>138</v>
      </c>
      <c r="AB47" s="40"/>
      <c r="AC47" s="40"/>
      <c r="AD47" s="23"/>
      <c r="AE47" s="23"/>
      <c r="AF47" s="4"/>
      <c r="AG47" s="4"/>
    </row>
    <row r="48" spans="1:33" s="21" customFormat="1">
      <c r="A48" s="25"/>
      <c r="B48" s="108">
        <f t="shared" si="0"/>
        <v>37</v>
      </c>
      <c r="C48" s="137" t="s">
        <v>141</v>
      </c>
      <c r="D48" s="138" t="s">
        <v>142</v>
      </c>
      <c r="E48" s="139"/>
      <c r="F48" s="139"/>
      <c r="G48" s="139"/>
      <c r="H48" s="139"/>
      <c r="I48" s="139"/>
      <c r="J48" s="139"/>
      <c r="K48" s="140"/>
      <c r="L48" s="139"/>
      <c r="M48" s="139"/>
      <c r="N48" s="139"/>
      <c r="O48" s="141"/>
      <c r="P48" s="139"/>
      <c r="Q48" s="139"/>
      <c r="R48" s="139"/>
      <c r="S48" s="138"/>
      <c r="T48" s="139"/>
      <c r="U48" s="139"/>
      <c r="V48" s="139" t="s">
        <v>120</v>
      </c>
      <c r="W48" s="141"/>
      <c r="X48" s="141"/>
      <c r="Y48" s="141"/>
      <c r="Z48" s="142"/>
      <c r="AA48" s="143" t="s">
        <v>142</v>
      </c>
      <c r="AB48" s="40"/>
      <c r="AC48" s="40"/>
      <c r="AD48" s="23"/>
      <c r="AE48" s="23"/>
      <c r="AF48" s="4"/>
      <c r="AG48" s="4"/>
    </row>
    <row r="49" spans="1:33" s="21" customFormat="1">
      <c r="A49" s="25"/>
      <c r="B49" s="108">
        <f t="shared" si="0"/>
        <v>38</v>
      </c>
      <c r="C49" s="137" t="s">
        <v>143</v>
      </c>
      <c r="D49" s="138" t="s">
        <v>144</v>
      </c>
      <c r="E49" s="139"/>
      <c r="F49" s="139"/>
      <c r="G49" s="139"/>
      <c r="H49" s="139"/>
      <c r="I49" s="139"/>
      <c r="J49" s="139"/>
      <c r="K49" s="140"/>
      <c r="L49" s="139"/>
      <c r="M49" s="139"/>
      <c r="N49" s="139"/>
      <c r="O49" s="141"/>
      <c r="P49" s="139"/>
      <c r="Q49" s="139"/>
      <c r="R49" s="139"/>
      <c r="S49" s="138"/>
      <c r="T49" s="139"/>
      <c r="U49" s="139"/>
      <c r="V49" s="139" t="s">
        <v>106</v>
      </c>
      <c r="W49" s="141">
        <v>1</v>
      </c>
      <c r="X49" s="141">
        <v>0</v>
      </c>
      <c r="Y49" s="141"/>
      <c r="Z49" s="142"/>
      <c r="AA49" s="143" t="s">
        <v>144</v>
      </c>
      <c r="AB49" s="40"/>
      <c r="AC49" s="40"/>
      <c r="AD49" s="23"/>
      <c r="AE49" s="23"/>
      <c r="AF49" s="4"/>
      <c r="AG49" s="4"/>
    </row>
    <row r="50" spans="1:33" s="21" customFormat="1">
      <c r="A50" s="25"/>
      <c r="B50" s="108">
        <f t="shared" si="0"/>
        <v>39</v>
      </c>
      <c r="C50" s="137" t="s">
        <v>145</v>
      </c>
      <c r="D50" s="138" t="s">
        <v>146</v>
      </c>
      <c r="E50" s="139"/>
      <c r="F50" s="139"/>
      <c r="G50" s="139"/>
      <c r="H50" s="139"/>
      <c r="I50" s="139"/>
      <c r="J50" s="139"/>
      <c r="K50" s="140"/>
      <c r="L50" s="139"/>
      <c r="M50" s="139"/>
      <c r="N50" s="139"/>
      <c r="O50" s="141"/>
      <c r="P50" s="139"/>
      <c r="Q50" s="139"/>
      <c r="R50" s="139"/>
      <c r="S50" s="138"/>
      <c r="T50" s="139"/>
      <c r="U50" s="139"/>
      <c r="V50" s="139" t="s">
        <v>106</v>
      </c>
      <c r="W50" s="141">
        <v>2</v>
      </c>
      <c r="X50" s="141">
        <v>0</v>
      </c>
      <c r="Y50" s="141"/>
      <c r="Z50" s="142"/>
      <c r="AA50" s="143" t="s">
        <v>146</v>
      </c>
      <c r="AB50" s="40"/>
      <c r="AC50" s="40"/>
      <c r="AD50" s="23"/>
      <c r="AE50" s="23"/>
      <c r="AF50" s="4"/>
      <c r="AG50" s="4"/>
    </row>
    <row r="51" spans="1:33" s="21" customFormat="1">
      <c r="A51" s="25"/>
      <c r="B51" s="108">
        <f t="shared" si="0"/>
        <v>40</v>
      </c>
      <c r="C51" s="137" t="s">
        <v>149</v>
      </c>
      <c r="D51" s="138" t="s">
        <v>150</v>
      </c>
      <c r="E51" s="139"/>
      <c r="F51" s="139"/>
      <c r="G51" s="139"/>
      <c r="H51" s="139"/>
      <c r="I51" s="139"/>
      <c r="J51" s="139"/>
      <c r="K51" s="140"/>
      <c r="L51" s="139"/>
      <c r="M51" s="139"/>
      <c r="N51" s="139"/>
      <c r="O51" s="141"/>
      <c r="P51" s="139"/>
      <c r="Q51" s="139"/>
      <c r="R51" s="139"/>
      <c r="S51" s="138"/>
      <c r="T51" s="139"/>
      <c r="U51" s="139"/>
      <c r="V51" s="139" t="s">
        <v>120</v>
      </c>
      <c r="W51" s="141"/>
      <c r="X51" s="141"/>
      <c r="Y51" s="141"/>
      <c r="Z51" s="142"/>
      <c r="AA51" s="143" t="s">
        <v>150</v>
      </c>
      <c r="AB51" s="40"/>
      <c r="AC51" s="40"/>
      <c r="AD51" s="23"/>
      <c r="AE51" s="23"/>
      <c r="AF51" s="4"/>
      <c r="AG51" s="4"/>
    </row>
    <row r="52" spans="1:33" s="21" customFormat="1">
      <c r="A52" s="25"/>
      <c r="B52" s="108">
        <f t="shared" si="0"/>
        <v>41</v>
      </c>
      <c r="C52" s="137" t="s">
        <v>151</v>
      </c>
      <c r="D52" s="138" t="s">
        <v>152</v>
      </c>
      <c r="E52" s="139"/>
      <c r="F52" s="139"/>
      <c r="G52" s="139"/>
      <c r="H52" s="139"/>
      <c r="I52" s="139"/>
      <c r="J52" s="139"/>
      <c r="K52" s="140"/>
      <c r="L52" s="139"/>
      <c r="M52" s="139"/>
      <c r="N52" s="139"/>
      <c r="O52" s="141"/>
      <c r="P52" s="139"/>
      <c r="Q52" s="139"/>
      <c r="R52" s="139"/>
      <c r="S52" s="138"/>
      <c r="T52" s="139"/>
      <c r="U52" s="139"/>
      <c r="V52" s="139" t="s">
        <v>106</v>
      </c>
      <c r="W52" s="141">
        <v>1</v>
      </c>
      <c r="X52" s="141">
        <v>0</v>
      </c>
      <c r="Y52" s="141"/>
      <c r="Z52" s="142"/>
      <c r="AA52" s="143" t="s">
        <v>152</v>
      </c>
      <c r="AB52" s="40"/>
      <c r="AC52" s="40"/>
      <c r="AD52" s="23"/>
      <c r="AE52" s="23"/>
      <c r="AF52" s="4"/>
      <c r="AG52" s="4"/>
    </row>
    <row r="53" spans="1:33" s="21" customFormat="1">
      <c r="A53" s="25"/>
      <c r="B53" s="108">
        <f t="shared" si="0"/>
        <v>42</v>
      </c>
      <c r="C53" s="114" t="s">
        <v>68</v>
      </c>
      <c r="D53" s="127" t="s">
        <v>87</v>
      </c>
      <c r="E53" s="128"/>
      <c r="F53" s="128"/>
      <c r="G53" s="128"/>
      <c r="H53" s="128"/>
      <c r="I53" s="128"/>
      <c r="J53" s="128"/>
      <c r="K53" s="129"/>
      <c r="L53" s="128"/>
      <c r="M53" s="128"/>
      <c r="N53" s="128"/>
      <c r="O53" s="115"/>
      <c r="P53" s="128"/>
      <c r="Q53" s="128"/>
      <c r="R53" s="128"/>
      <c r="S53" s="127"/>
      <c r="T53" s="128"/>
      <c r="U53" s="145" t="s">
        <v>27</v>
      </c>
      <c r="V53" s="128" t="s">
        <v>28</v>
      </c>
      <c r="W53" s="115">
        <v>1</v>
      </c>
      <c r="X53" s="115"/>
      <c r="Y53" s="115"/>
      <c r="Z53" s="135"/>
      <c r="AA53" s="130" t="s">
        <v>87</v>
      </c>
      <c r="AB53" s="40"/>
      <c r="AC53" s="40"/>
      <c r="AD53" s="23"/>
      <c r="AE53" s="23"/>
      <c r="AF53" s="4"/>
      <c r="AG53" s="4"/>
    </row>
    <row r="54" spans="1:33" s="21" customFormat="1">
      <c r="A54" s="25"/>
      <c r="B54" s="108">
        <f t="shared" si="0"/>
        <v>43</v>
      </c>
      <c r="C54" s="114" t="s">
        <v>69</v>
      </c>
      <c r="D54" s="127" t="s">
        <v>88</v>
      </c>
      <c r="E54" s="128"/>
      <c r="F54" s="128"/>
      <c r="G54" s="128"/>
      <c r="H54" s="128"/>
      <c r="I54" s="128"/>
      <c r="J54" s="128"/>
      <c r="K54" s="129"/>
      <c r="L54" s="128"/>
      <c r="M54" s="128"/>
      <c r="N54" s="128"/>
      <c r="O54" s="115"/>
      <c r="P54" s="128"/>
      <c r="Q54" s="128"/>
      <c r="R54" s="128"/>
      <c r="S54" s="127"/>
      <c r="T54" s="128"/>
      <c r="U54" s="145" t="s">
        <v>27</v>
      </c>
      <c r="V54" s="128" t="s">
        <v>29</v>
      </c>
      <c r="W54" s="115"/>
      <c r="X54" s="115"/>
      <c r="Y54" s="115"/>
      <c r="Z54" s="135"/>
      <c r="AA54" s="130" t="s">
        <v>88</v>
      </c>
      <c r="AB54" s="40"/>
      <c r="AC54" s="40"/>
      <c r="AD54" s="23"/>
      <c r="AE54" s="23"/>
      <c r="AF54" s="4"/>
      <c r="AG54" s="4"/>
    </row>
    <row r="55" spans="1:33" s="21" customFormat="1">
      <c r="A55" s="25"/>
      <c r="B55" s="108">
        <f t="shared" si="0"/>
        <v>44</v>
      </c>
      <c r="C55" s="114" t="s">
        <v>70</v>
      </c>
      <c r="D55" s="127" t="s">
        <v>89</v>
      </c>
      <c r="E55" s="128"/>
      <c r="F55" s="128"/>
      <c r="G55" s="128"/>
      <c r="H55" s="128"/>
      <c r="I55" s="128"/>
      <c r="J55" s="128"/>
      <c r="K55" s="129"/>
      <c r="L55" s="128"/>
      <c r="M55" s="128"/>
      <c r="N55" s="128"/>
      <c r="O55" s="115"/>
      <c r="P55" s="128"/>
      <c r="Q55" s="128"/>
      <c r="R55" s="128"/>
      <c r="S55" s="127"/>
      <c r="T55" s="128"/>
      <c r="U55" s="145" t="s">
        <v>27</v>
      </c>
      <c r="V55" s="128" t="s">
        <v>33</v>
      </c>
      <c r="W55" s="115">
        <v>20</v>
      </c>
      <c r="X55" s="115"/>
      <c r="Y55" s="115"/>
      <c r="Z55" s="135">
        <v>15</v>
      </c>
      <c r="AA55" s="130" t="s">
        <v>89</v>
      </c>
      <c r="AB55" s="40"/>
      <c r="AC55" s="40"/>
      <c r="AD55" s="23"/>
      <c r="AE55" s="23"/>
      <c r="AF55" s="4"/>
      <c r="AG55" s="4"/>
    </row>
    <row r="56" spans="1:33" s="21" customFormat="1">
      <c r="A56" s="25"/>
      <c r="B56" s="108">
        <f t="shared" si="0"/>
        <v>45</v>
      </c>
      <c r="C56" s="114" t="s">
        <v>71</v>
      </c>
      <c r="D56" s="127" t="s">
        <v>90</v>
      </c>
      <c r="E56" s="128"/>
      <c r="F56" s="128"/>
      <c r="G56" s="128"/>
      <c r="H56" s="128"/>
      <c r="I56" s="128"/>
      <c r="J56" s="128"/>
      <c r="K56" s="129"/>
      <c r="L56" s="128"/>
      <c r="M56" s="128"/>
      <c r="N56" s="128"/>
      <c r="O56" s="115"/>
      <c r="P56" s="128"/>
      <c r="Q56" s="128"/>
      <c r="R56" s="128"/>
      <c r="S56" s="127"/>
      <c r="T56" s="128"/>
      <c r="U56" s="145" t="s">
        <v>27</v>
      </c>
      <c r="V56" s="128" t="s">
        <v>29</v>
      </c>
      <c r="W56" s="115"/>
      <c r="X56" s="115"/>
      <c r="Y56" s="115"/>
      <c r="Z56" s="135"/>
      <c r="AA56" s="130" t="s">
        <v>90</v>
      </c>
      <c r="AB56" s="40"/>
      <c r="AC56" s="40"/>
      <c r="AD56" s="23"/>
      <c r="AE56" s="23"/>
      <c r="AF56" s="4"/>
      <c r="AG56" s="4"/>
    </row>
    <row r="57" spans="1:33" s="21" customFormat="1">
      <c r="A57" s="25"/>
      <c r="B57" s="108">
        <f t="shared" si="0"/>
        <v>46</v>
      </c>
      <c r="C57" s="114" t="s">
        <v>72</v>
      </c>
      <c r="D57" s="127" t="s">
        <v>91</v>
      </c>
      <c r="E57" s="128"/>
      <c r="F57" s="128"/>
      <c r="G57" s="128"/>
      <c r="H57" s="128"/>
      <c r="I57" s="128"/>
      <c r="J57" s="128"/>
      <c r="K57" s="129"/>
      <c r="L57" s="128"/>
      <c r="M57" s="128"/>
      <c r="N57" s="128"/>
      <c r="O57" s="115"/>
      <c r="P57" s="128"/>
      <c r="Q57" s="128"/>
      <c r="R57" s="128"/>
      <c r="S57" s="127"/>
      <c r="T57" s="128"/>
      <c r="U57" s="145" t="s">
        <v>27</v>
      </c>
      <c r="V57" s="128" t="s">
        <v>33</v>
      </c>
      <c r="W57" s="115">
        <v>20</v>
      </c>
      <c r="X57" s="115"/>
      <c r="Y57" s="115"/>
      <c r="Z57" s="135">
        <v>15</v>
      </c>
      <c r="AA57" s="130" t="s">
        <v>91</v>
      </c>
      <c r="AB57" s="40"/>
      <c r="AC57" s="40"/>
      <c r="AD57" s="23"/>
      <c r="AE57" s="23"/>
      <c r="AF57" s="4"/>
      <c r="AG57" s="4"/>
    </row>
    <row r="58" spans="1:33" s="21" customFormat="1">
      <c r="A58" s="25"/>
      <c r="B58" s="108">
        <f t="shared" si="0"/>
        <v>47</v>
      </c>
      <c r="C58" s="114" t="s">
        <v>73</v>
      </c>
      <c r="D58" s="127" t="s">
        <v>78</v>
      </c>
      <c r="E58" s="128"/>
      <c r="F58" s="128"/>
      <c r="G58" s="128"/>
      <c r="H58" s="128"/>
      <c r="I58" s="128"/>
      <c r="J58" s="128"/>
      <c r="K58" s="129"/>
      <c r="L58" s="128"/>
      <c r="M58" s="128"/>
      <c r="N58" s="128"/>
      <c r="O58" s="115"/>
      <c r="P58" s="128"/>
      <c r="Q58" s="128"/>
      <c r="R58" s="128"/>
      <c r="S58" s="127"/>
      <c r="T58" s="128"/>
      <c r="U58" s="145" t="s">
        <v>27</v>
      </c>
      <c r="V58" s="128" t="s">
        <v>74</v>
      </c>
      <c r="W58" s="115"/>
      <c r="X58" s="115"/>
      <c r="Y58" s="115"/>
      <c r="Z58" s="135"/>
      <c r="AA58" s="130" t="s">
        <v>78</v>
      </c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59:AC114 B12:B24 AB12:AC24 B26:B58 AB26:AC58">
    <cfRule type="expression" dxfId="415" priority="32">
      <formula>NOT(ISBLANK(INDIRECT("RC28",FALSE)))</formula>
    </cfRule>
  </conditionalFormatting>
  <conditionalFormatting sqref="C59:AC114 AB12:AC24 AB26:AC58">
    <cfRule type="expression" dxfId="414" priority="31" stopIfTrue="1">
      <formula>AND(ISBLANK(INDIRECT("RC2",FALSE)),NOT(ISBLANK(INDIRECT("RC3",FALSE))))</formula>
    </cfRule>
  </conditionalFormatting>
  <conditionalFormatting sqref="B25 AB25:AC25">
    <cfRule type="expression" dxfId="413" priority="30">
      <formula>NOT(ISBLANK(INDIRECT("RC28",FALSE)))</formula>
    </cfRule>
  </conditionalFormatting>
  <conditionalFormatting sqref="AB25:AC25">
    <cfRule type="expression" dxfId="412" priority="29" stopIfTrue="1">
      <formula>AND(ISBLANK(INDIRECT("RC2",FALSE)),NOT(ISBLANK(INDIRECT("RC3",FALSE))))</formula>
    </cfRule>
  </conditionalFormatting>
  <conditionalFormatting sqref="C12:AA12 E13:AA13 C14:AA14">
    <cfRule type="expression" dxfId="411" priority="25">
      <formula>NOT(ISBLANK(INDIRECT("RC28",FALSE)))</formula>
    </cfRule>
  </conditionalFormatting>
  <conditionalFormatting sqref="C12:AA12 E13:AA13 C14:AA14">
    <cfRule type="expression" dxfId="410" priority="26" stopIfTrue="1">
      <formula>AND(ISBLANK(INDIRECT("RC2",FALSE)),NOT(ISBLANK(INDIRECT("RC3",FALSE))))</formula>
    </cfRule>
  </conditionalFormatting>
  <conditionalFormatting sqref="C13:D13">
    <cfRule type="expression" dxfId="409" priority="27" stopIfTrue="1">
      <formula>AND(ISBLANK(INDIRECT("RC2",FALSE)),NOT(ISBLANK(INDIRECT("RC3",FALSE))))</formula>
    </cfRule>
  </conditionalFormatting>
  <conditionalFormatting sqref="C13:D13">
    <cfRule type="expression" dxfId="408" priority="28">
      <formula>NOT(ISBLANK(INDIRECT("RC28",FALSE)))</formula>
    </cfRule>
  </conditionalFormatting>
  <conditionalFormatting sqref="C15:AA15">
    <cfRule type="expression" dxfId="407" priority="21">
      <formula>NOT(ISBLANK(INDIRECT("RC28",FALSE)))</formula>
    </cfRule>
  </conditionalFormatting>
  <conditionalFormatting sqref="C15:AA15">
    <cfRule type="expression" dxfId="406" priority="22" stopIfTrue="1">
      <formula>AND(ISBLANK(INDIRECT("RC2",FALSE)),NOT(ISBLANK(INDIRECT("RC3",FALSE))))</formula>
    </cfRule>
  </conditionalFormatting>
  <conditionalFormatting sqref="V15">
    <cfRule type="expression" dxfId="405" priority="23">
      <formula>NOT(ISBLANK(INDIRECT("RC28",FALSE)))</formula>
    </cfRule>
  </conditionalFormatting>
  <conditionalFormatting sqref="V15">
    <cfRule type="expression" dxfId="404" priority="24" stopIfTrue="1">
      <formula>AND(ISBLANK(INDIRECT("RC2",FALSE)),NOT(ISBLANK(INDIRECT("RC3",FALSE))))</formula>
    </cfRule>
  </conditionalFormatting>
  <conditionalFormatting sqref="C16:AA58">
    <cfRule type="expression" dxfId="403" priority="3">
      <formula>NOT(ISBLANK(INDIRECT("RC28",FALSE)))</formula>
    </cfRule>
  </conditionalFormatting>
  <conditionalFormatting sqref="C16:AA58">
    <cfRule type="expression" dxfId="402" priority="4" stopIfTrue="1">
      <formula>AND(ISBLANK(INDIRECT("RC2",FALSE)),NOT(ISBLANK(INDIRECT("RC3",FALSE))))</formula>
    </cfRule>
  </conditionalFormatting>
  <conditionalFormatting sqref="C16:D16">
    <cfRule type="expression" dxfId="401" priority="5" stopIfTrue="1">
      <formula>AND(ISBLANK(INDIRECT("RC2",FALSE)),NOT(ISBLANK(INDIRECT("RC3",FALSE))))</formula>
    </cfRule>
  </conditionalFormatting>
  <conditionalFormatting sqref="C16:D16">
    <cfRule type="expression" dxfId="400" priority="6">
      <formula>NOT(ISBLANK(INDIRECT("RC28",FALSE)))</formula>
    </cfRule>
  </conditionalFormatting>
  <conditionalFormatting sqref="C17:D17 AA17 C22:D22 C28:D28">
    <cfRule type="expression" dxfId="399" priority="7" stopIfTrue="1">
      <formula>AND(ISBLANK(INDIRECT("RC2",FALSE)),NOT(ISBLANK(INDIRECT("RC3",FALSE))))</formula>
    </cfRule>
  </conditionalFormatting>
  <conditionalFormatting sqref="C17:D17 AA17 C22:D22 C28:D28">
    <cfRule type="expression" dxfId="398" priority="8">
      <formula>NOT(ISBLANK(INDIRECT("RC28",FALSE)))</formula>
    </cfRule>
  </conditionalFormatting>
  <conditionalFormatting sqref="E22:AA23 C23:D23 E34:AA39 C35:D35 C37:D39">
    <cfRule type="expression" dxfId="397" priority="9">
      <formula>NOT(ISBLANK(INDIRECT("RC28",FALSE)))</formula>
    </cfRule>
  </conditionalFormatting>
  <conditionalFormatting sqref="E22:AA23 C23:D23 E34:AA39 C35:D35 C37:D39">
    <cfRule type="expression" dxfId="396" priority="10" stopIfTrue="1">
      <formula>AND(ISBLANK(INDIRECT("RC2",FALSE)),NOT(ISBLANK(INDIRECT("RC3",FALSE))))</formula>
    </cfRule>
  </conditionalFormatting>
  <conditionalFormatting sqref="C22:D22 C34:D34 C36:D36">
    <cfRule type="expression" dxfId="395" priority="11" stopIfTrue="1">
      <formula>AND(ISBLANK(INDIRECT("RC2",FALSE)),NOT(ISBLANK(INDIRECT("RC3",FALSE))))</formula>
    </cfRule>
  </conditionalFormatting>
  <conditionalFormatting sqref="C22:D22 C34:D34 C36:D36">
    <cfRule type="expression" dxfId="394" priority="12">
      <formula>NOT(ISBLANK(INDIRECT("RC28",FALSE)))</formula>
    </cfRule>
  </conditionalFormatting>
  <conditionalFormatting sqref="C23:D23 C35:D35 C37:D39">
    <cfRule type="expression" dxfId="393" priority="13" stopIfTrue="1">
      <formula>AND(ISBLANK(INDIRECT("RC2",FALSE)),NOT(ISBLANK(INDIRECT("RC3",FALSE))))</formula>
    </cfRule>
  </conditionalFormatting>
  <conditionalFormatting sqref="C23:D23 C35:D35 C37:D39">
    <cfRule type="expression" dxfId="392" priority="14">
      <formula>NOT(ISBLANK(INDIRECT("RC28",FALSE)))</formula>
    </cfRule>
  </conditionalFormatting>
  <conditionalFormatting sqref="C31:D31 E27:AA27 C33:D33 E33:AA35 C35:D35">
    <cfRule type="expression" dxfId="391" priority="15">
      <formula>NOT(ISBLANK(INDIRECT("RC28",FALSE)))</formula>
    </cfRule>
  </conditionalFormatting>
  <conditionalFormatting sqref="C31:D31 E27:AA27 C33:D33 E33:AA35 C35:D35">
    <cfRule type="expression" dxfId="390" priority="16" stopIfTrue="1">
      <formula>AND(ISBLANK(INDIRECT("RC2",FALSE)),NOT(ISBLANK(INDIRECT("RC3",FALSE))))</formula>
    </cfRule>
  </conditionalFormatting>
  <conditionalFormatting sqref="C21:D21 AA21 C27:D27 C34:D34">
    <cfRule type="expression" dxfId="389" priority="17" stopIfTrue="1">
      <formula>AND(ISBLANK(INDIRECT("RC2",FALSE)),NOT(ISBLANK(INDIRECT("RC3",FALSE))))</formula>
    </cfRule>
  </conditionalFormatting>
  <conditionalFormatting sqref="C21:D21 AA21 C27:D27 C34:D34">
    <cfRule type="expression" dxfId="388" priority="18">
      <formula>NOT(ISBLANK(INDIRECT("RC28",FALSE)))</formula>
    </cfRule>
  </conditionalFormatting>
  <conditionalFormatting sqref="C31:D31 AA31 C33:D33 C35:D35">
    <cfRule type="expression" dxfId="387" priority="19" stopIfTrue="1">
      <formula>AND(ISBLANK(INDIRECT("RC2",FALSE)),NOT(ISBLANK(INDIRECT("RC3",FALSE))))</formula>
    </cfRule>
  </conditionalFormatting>
  <conditionalFormatting sqref="C31:D31 AA31 C33:D33 C35:D35">
    <cfRule type="expression" dxfId="386" priority="20">
      <formula>NOT(ISBLANK(INDIRECT("RC28",FALSE)))</formula>
    </cfRule>
  </conditionalFormatting>
  <conditionalFormatting sqref="Z28">
    <cfRule type="expression" dxfId="385" priority="1">
      <formula>NOT(ISBLANK(INDIRECT("RC28",FALSE)))</formula>
    </cfRule>
  </conditionalFormatting>
  <conditionalFormatting sqref="Z28">
    <cfRule type="expression" dxfId="384" priority="2" stopIfTrue="1">
      <formula>AND(ISBLANK(INDIRECT("RC2",FALSE)),NOT(ISBLANK(INDIRECT("RC3",FALSE))))</formula>
    </cfRule>
  </conditionalFormatting>
  <dataValidations count="6">
    <dataValidation type="list" allowBlank="1" showInputMessage="1" showErrorMessage="1" sqref="F11:T11" xr:uid="{00000000-0002-0000-0700-000000000000}">
      <formula1>"IN,uIN,BR,uBR"</formula1>
    </dataValidation>
    <dataValidation type="list" allowBlank="1" showInputMessage="1" showErrorMessage="1" sqref="AC12:AC114" xr:uid="{00000000-0002-0000-0700-000001000000}">
      <formula1>"親,子"</formula1>
    </dataValidation>
    <dataValidation type="list" allowBlank="1" showInputMessage="1" showErrorMessage="1" sqref="V59:V114" xr:uid="{00000000-0002-0000-0700-000002000000}">
      <formula1>"TEXT,VARCHAR,CHAR,NUMERIC,integer,boolean,bytea,DATE(時刻無),TIMESTAMP"</formula1>
    </dataValidation>
    <dataValidation type="list" allowBlank="1" showInputMessage="1" showErrorMessage="1" sqref="AB12:AB114 J5:T5 U59:U114" xr:uid="{00000000-0002-0000-0700-000003000000}">
      <formula1>"○"</formula1>
    </dataValidation>
    <dataValidation type="list" allowBlank="1" showErrorMessage="1" sqref="U12:U58" xr:uid="{00000000-0002-0000-0700-000004000000}">
      <formula1>"○"</formula1>
    </dataValidation>
    <dataValidation type="list" allowBlank="1" showErrorMessage="1" sqref="V12:V58" xr:uid="{00000000-0002-0000-0700-000005000000}">
      <formula1>"TEXT,VARCHAR,CHAR,NUMERIC,integer,boolean,bytea,DATE(時刻無),TIMESTAMP"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2">
    <pageSetUpPr fitToPage="1"/>
  </sheetPr>
  <dimension ref="A1:AG193"/>
  <sheetViews>
    <sheetView showGridLines="0" zoomScale="126" zoomScaleNormal="126" zoomScaleSheetLayoutView="100" workbookViewId="0">
      <selection activeCell="A26" sqref="A26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374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264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375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3000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266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376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377</v>
      </c>
      <c r="F9" s="276" t="s">
        <v>378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379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24">
        <f t="shared" ref="B12:B75" si="0">ROW()-11</f>
        <v>1</v>
      </c>
      <c r="C12" s="91" t="s">
        <v>260</v>
      </c>
      <c r="D12" s="92" t="s">
        <v>261</v>
      </c>
      <c r="E12" s="92">
        <v>1</v>
      </c>
      <c r="F12" s="92"/>
      <c r="G12" s="93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33</v>
      </c>
      <c r="W12" s="95">
        <v>100</v>
      </c>
      <c r="X12" s="92"/>
      <c r="Y12" s="96"/>
      <c r="Z12" s="96">
        <v>50</v>
      </c>
      <c r="AA12" s="97" t="s">
        <v>261</v>
      </c>
      <c r="AB12" s="40"/>
      <c r="AC12" s="40"/>
      <c r="AD12" s="27"/>
      <c r="AE12" s="27"/>
      <c r="AG12" s="4"/>
    </row>
    <row r="13" spans="1:33" s="21" customFormat="1">
      <c r="A13" s="25"/>
      <c r="B13" s="24">
        <f t="shared" si="0"/>
        <v>2</v>
      </c>
      <c r="C13" s="98" t="s">
        <v>267</v>
      </c>
      <c r="D13" s="99" t="s">
        <v>268</v>
      </c>
      <c r="E13" s="100">
        <v>2</v>
      </c>
      <c r="F13" s="100"/>
      <c r="G13" s="101"/>
      <c r="H13" s="101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2" t="s">
        <v>27</v>
      </c>
      <c r="V13" s="100" t="s">
        <v>33</v>
      </c>
      <c r="W13" s="100">
        <v>100</v>
      </c>
      <c r="X13" s="100"/>
      <c r="Y13" s="103"/>
      <c r="Z13" s="104">
        <v>50</v>
      </c>
      <c r="AA13" s="105" t="s">
        <v>268</v>
      </c>
      <c r="AB13" s="40"/>
      <c r="AC13" s="40"/>
      <c r="AD13" s="42" t="s">
        <v>296</v>
      </c>
      <c r="AE13" s="33" t="s">
        <v>53</v>
      </c>
      <c r="AG13" s="4"/>
    </row>
    <row r="14" spans="1:33" s="21" customFormat="1">
      <c r="A14" s="25"/>
      <c r="B14" s="24">
        <f t="shared" si="0"/>
        <v>3</v>
      </c>
      <c r="C14" s="106" t="s">
        <v>269</v>
      </c>
      <c r="D14" s="100" t="s">
        <v>270</v>
      </c>
      <c r="E14" s="100">
        <v>3</v>
      </c>
      <c r="F14" s="100"/>
      <c r="G14" s="101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2" t="s">
        <v>27</v>
      </c>
      <c r="V14" s="100" t="s">
        <v>33</v>
      </c>
      <c r="W14" s="100">
        <v>100</v>
      </c>
      <c r="X14" s="100"/>
      <c r="Y14" s="103"/>
      <c r="Z14" s="104">
        <v>50</v>
      </c>
      <c r="AA14" s="105" t="s">
        <v>270</v>
      </c>
      <c r="AB14" s="40"/>
      <c r="AC14" s="40"/>
      <c r="AD14" s="27"/>
      <c r="AE14" s="33" t="s">
        <v>364</v>
      </c>
      <c r="AF14" s="4"/>
      <c r="AG14" s="4"/>
    </row>
    <row r="15" spans="1:33" s="21" customFormat="1">
      <c r="A15" s="25"/>
      <c r="B15" s="24">
        <f t="shared" si="0"/>
        <v>4</v>
      </c>
      <c r="C15" s="106" t="s">
        <v>271</v>
      </c>
      <c r="D15" s="100" t="s">
        <v>272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2"/>
      <c r="V15" s="100" t="s">
        <v>103</v>
      </c>
      <c r="W15" s="100"/>
      <c r="X15" s="100"/>
      <c r="Y15" s="103"/>
      <c r="Z15" s="103">
        <v>100</v>
      </c>
      <c r="AA15" s="105" t="s">
        <v>272</v>
      </c>
      <c r="AB15" s="40"/>
      <c r="AC15" s="40"/>
      <c r="AD15" s="27"/>
      <c r="AE15" s="33" t="s">
        <v>372</v>
      </c>
      <c r="AF15" s="4"/>
      <c r="AG15" s="4"/>
    </row>
    <row r="16" spans="1:33" s="21" customFormat="1">
      <c r="A16" s="25"/>
      <c r="B16" s="24">
        <f t="shared" si="0"/>
        <v>5</v>
      </c>
      <c r="C16" s="98" t="s">
        <v>68</v>
      </c>
      <c r="D16" s="99" t="s">
        <v>87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2" t="s">
        <v>27</v>
      </c>
      <c r="V16" s="100" t="s">
        <v>28</v>
      </c>
      <c r="W16" s="107">
        <v>1</v>
      </c>
      <c r="X16" s="100"/>
      <c r="Y16" s="103"/>
      <c r="Z16" s="103"/>
      <c r="AA16" s="105" t="s">
        <v>87</v>
      </c>
      <c r="AB16" s="40"/>
      <c r="AC16" s="40"/>
      <c r="AD16" s="23"/>
      <c r="AE16" s="33" t="s">
        <v>297</v>
      </c>
      <c r="AF16" s="4"/>
      <c r="AG16" s="4"/>
    </row>
    <row r="17" spans="1:33" s="21" customFormat="1">
      <c r="A17" s="25"/>
      <c r="B17" s="24">
        <f t="shared" si="0"/>
        <v>6</v>
      </c>
      <c r="C17" s="98" t="s">
        <v>69</v>
      </c>
      <c r="D17" s="99" t="s">
        <v>88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2" t="s">
        <v>27</v>
      </c>
      <c r="V17" s="100" t="s">
        <v>29</v>
      </c>
      <c r="W17" s="100"/>
      <c r="X17" s="100"/>
      <c r="Y17" s="103"/>
      <c r="Z17" s="104"/>
      <c r="AA17" s="105" t="s">
        <v>88</v>
      </c>
      <c r="AB17" s="40"/>
      <c r="AC17" s="40"/>
      <c r="AD17" s="23"/>
      <c r="AE17" s="23"/>
      <c r="AF17" s="4"/>
      <c r="AG17" s="4"/>
    </row>
    <row r="18" spans="1:33" s="21" customFormat="1">
      <c r="A18" s="25"/>
      <c r="B18" s="24">
        <f t="shared" si="0"/>
        <v>7</v>
      </c>
      <c r="C18" s="106" t="s">
        <v>70</v>
      </c>
      <c r="D18" s="100" t="s">
        <v>89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2" t="s">
        <v>27</v>
      </c>
      <c r="V18" s="100" t="s">
        <v>33</v>
      </c>
      <c r="W18" s="107">
        <v>20</v>
      </c>
      <c r="X18" s="100"/>
      <c r="Y18" s="103"/>
      <c r="Z18" s="103">
        <v>15</v>
      </c>
      <c r="AA18" s="105" t="s">
        <v>89</v>
      </c>
      <c r="AB18" s="40"/>
      <c r="AC18" s="40"/>
      <c r="AD18" s="32" t="s">
        <v>298</v>
      </c>
      <c r="AE18" s="33" t="s">
        <v>14</v>
      </c>
      <c r="AF18" s="4"/>
      <c r="AG18" s="4"/>
    </row>
    <row r="19" spans="1:33" s="21" customFormat="1">
      <c r="A19" s="25"/>
      <c r="B19" s="24">
        <f t="shared" si="0"/>
        <v>8</v>
      </c>
      <c r="C19" s="106" t="s">
        <v>71</v>
      </c>
      <c r="D19" s="100" t="s">
        <v>90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2" t="s">
        <v>27</v>
      </c>
      <c r="V19" s="100" t="s">
        <v>29</v>
      </c>
      <c r="W19" s="100"/>
      <c r="X19" s="100"/>
      <c r="Y19" s="103"/>
      <c r="Z19" s="104"/>
      <c r="AA19" s="105" t="s">
        <v>90</v>
      </c>
      <c r="AB19" s="40"/>
      <c r="AC19" s="40"/>
      <c r="AD19" s="42" t="s">
        <v>52</v>
      </c>
      <c r="AE19" s="33" t="s">
        <v>54</v>
      </c>
      <c r="AF19" s="4"/>
      <c r="AG19" s="4"/>
    </row>
    <row r="20" spans="1:33" s="21" customFormat="1">
      <c r="A20" s="25"/>
      <c r="B20" s="24">
        <f t="shared" si="0"/>
        <v>9</v>
      </c>
      <c r="C20" s="106" t="s">
        <v>72</v>
      </c>
      <c r="D20" s="100" t="s">
        <v>91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2" t="s">
        <v>27</v>
      </c>
      <c r="V20" s="100" t="s">
        <v>33</v>
      </c>
      <c r="W20" s="107">
        <v>20</v>
      </c>
      <c r="X20" s="100"/>
      <c r="Y20" s="103"/>
      <c r="Z20" s="103">
        <v>15</v>
      </c>
      <c r="AA20" s="105" t="s">
        <v>91</v>
      </c>
      <c r="AB20" s="40"/>
      <c r="AC20" s="40"/>
      <c r="AD20" s="41" t="s">
        <v>50</v>
      </c>
      <c r="AE20" s="33" t="s">
        <v>51</v>
      </c>
      <c r="AF20" s="4"/>
      <c r="AG20" s="4"/>
    </row>
    <row r="21" spans="1:33" s="21" customFormat="1">
      <c r="A21" s="25"/>
      <c r="B21" s="24">
        <f t="shared" si="0"/>
        <v>10</v>
      </c>
      <c r="C21" s="15" t="s">
        <v>73</v>
      </c>
      <c r="D21" s="13" t="s">
        <v>78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7" t="s">
        <v>27</v>
      </c>
      <c r="V21" s="34" t="s">
        <v>74</v>
      </c>
      <c r="W21" s="18"/>
      <c r="X21" s="16"/>
      <c r="Y21" s="19"/>
      <c r="Z21" s="19"/>
      <c r="AA21" s="20" t="s">
        <v>78</v>
      </c>
      <c r="AB21" s="40"/>
      <c r="AC21" s="40"/>
      <c r="AD21" s="27"/>
      <c r="AE21" s="27"/>
      <c r="AF21" s="4"/>
      <c r="AG21" s="4"/>
    </row>
    <row r="22" spans="1:33" s="21" customFormat="1">
      <c r="A22" s="25"/>
      <c r="B22" s="24">
        <f t="shared" si="0"/>
        <v>11</v>
      </c>
      <c r="C22" s="15"/>
      <c r="D22" s="13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7"/>
      <c r="V22" s="12"/>
      <c r="W22" s="18"/>
      <c r="X22" s="16"/>
      <c r="Y22" s="19"/>
      <c r="Z22" s="19"/>
      <c r="AA22" s="20"/>
      <c r="AB22" s="40"/>
      <c r="AC22" s="40"/>
      <c r="AD22" s="27"/>
      <c r="AE22" s="27"/>
      <c r="AF22" s="4"/>
      <c r="AG22" s="4"/>
    </row>
    <row r="23" spans="1:33" s="21" customFormat="1">
      <c r="A23" s="25"/>
      <c r="B23" s="24">
        <f t="shared" si="0"/>
        <v>12</v>
      </c>
      <c r="C23" s="15"/>
      <c r="D23" s="13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7"/>
      <c r="V23" s="12"/>
      <c r="W23" s="18"/>
      <c r="X23" s="16"/>
      <c r="Y23" s="19"/>
      <c r="Z23" s="19"/>
      <c r="AA23" s="20"/>
      <c r="AB23" s="40"/>
      <c r="AC23" s="40"/>
      <c r="AD23" s="27"/>
      <c r="AE23" s="27"/>
      <c r="AF23" s="4"/>
      <c r="AG23" s="4"/>
    </row>
    <row r="24" spans="1:33" s="21" customFormat="1">
      <c r="A24" s="25"/>
      <c r="B24" s="24">
        <f t="shared" si="0"/>
        <v>13</v>
      </c>
      <c r="C24" s="15"/>
      <c r="D24" s="13"/>
      <c r="E24" s="16"/>
      <c r="F24" s="16"/>
      <c r="G24" s="2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7"/>
      <c r="V24" s="12"/>
      <c r="W24" s="18"/>
      <c r="X24" s="16"/>
      <c r="Y24" s="19"/>
      <c r="Z24" s="19"/>
      <c r="AA24" s="20"/>
      <c r="AB24" s="40"/>
      <c r="AC24" s="40"/>
      <c r="AD24" s="23"/>
      <c r="AE24" s="23"/>
      <c r="AF24" s="4"/>
      <c r="AG24" s="4"/>
    </row>
    <row r="25" spans="1:33" s="21" customFormat="1">
      <c r="A25" s="25"/>
      <c r="B25" s="24">
        <f t="shared" si="0"/>
        <v>14</v>
      </c>
      <c r="C25" s="15"/>
      <c r="D25" s="5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59"/>
      <c r="V25" s="34"/>
      <c r="W25" s="68"/>
      <c r="X25" s="26"/>
      <c r="Y25" s="35"/>
      <c r="Z25" s="35"/>
      <c r="AA25" s="43"/>
      <c r="AB25" s="40"/>
      <c r="AC25" s="40"/>
      <c r="AD25" s="23"/>
      <c r="AE25" s="23"/>
      <c r="AF25" s="4"/>
      <c r="AG25" s="4"/>
    </row>
    <row r="26" spans="1:33" s="21" customFormat="1">
      <c r="A26" s="25"/>
      <c r="B26" s="24">
        <f t="shared" si="0"/>
        <v>15</v>
      </c>
      <c r="C26" s="15"/>
      <c r="D26" s="5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59"/>
      <c r="V26" s="34"/>
      <c r="W26" s="68"/>
      <c r="X26" s="26"/>
      <c r="Y26" s="35"/>
      <c r="Z26" s="35"/>
      <c r="AA26" s="43"/>
      <c r="AB26" s="40"/>
      <c r="AC26" s="40"/>
      <c r="AD26" s="23"/>
      <c r="AE26" s="23"/>
      <c r="AF26" s="4"/>
      <c r="AG26" s="4"/>
    </row>
    <row r="27" spans="1:33" s="21" customFormat="1">
      <c r="A27" s="25"/>
      <c r="B27" s="24">
        <f t="shared" si="0"/>
        <v>16</v>
      </c>
      <c r="C27" s="15"/>
      <c r="D27" s="5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59"/>
      <c r="V27" s="34"/>
      <c r="W27" s="68"/>
      <c r="X27" s="26"/>
      <c r="Y27" s="35"/>
      <c r="Z27" s="35"/>
      <c r="AA27" s="43"/>
      <c r="AB27" s="40"/>
      <c r="AC27" s="40"/>
      <c r="AD27" s="23"/>
      <c r="AE27" s="23"/>
      <c r="AF27" s="4"/>
      <c r="AG27" s="4"/>
    </row>
    <row r="28" spans="1:33" s="21" customFormat="1">
      <c r="A28" s="25"/>
      <c r="B28" s="24">
        <f t="shared" si="0"/>
        <v>17</v>
      </c>
      <c r="C28" s="15"/>
      <c r="D28" s="5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59"/>
      <c r="V28" s="34"/>
      <c r="W28" s="68"/>
      <c r="X28" s="26"/>
      <c r="Y28" s="35"/>
      <c r="Z28" s="35"/>
      <c r="AA28" s="43"/>
      <c r="AB28" s="40"/>
      <c r="AC28" s="40"/>
      <c r="AD28" s="23"/>
      <c r="AE28" s="23"/>
      <c r="AF28" s="4"/>
      <c r="AG28" s="4"/>
    </row>
    <row r="29" spans="1:33" s="21" customFormat="1">
      <c r="A29" s="25"/>
      <c r="B29" s="24">
        <f t="shared" si="0"/>
        <v>18</v>
      </c>
      <c r="C29" s="15"/>
      <c r="D29" s="5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59"/>
      <c r="V29" s="34"/>
      <c r="W29" s="68"/>
      <c r="X29" s="26"/>
      <c r="Y29" s="35"/>
      <c r="Z29" s="35"/>
      <c r="AA29" s="43"/>
      <c r="AB29" s="40"/>
      <c r="AC29" s="40"/>
      <c r="AD29" s="23"/>
      <c r="AE29" s="23"/>
      <c r="AF29" s="4"/>
      <c r="AG29" s="4"/>
    </row>
    <row r="30" spans="1:33" s="21" customFormat="1">
      <c r="A30" s="25"/>
      <c r="B30" s="24">
        <f t="shared" si="0"/>
        <v>19</v>
      </c>
      <c r="C30" s="15"/>
      <c r="D30" s="5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59"/>
      <c r="V30" s="34"/>
      <c r="W30" s="68"/>
      <c r="X30" s="26"/>
      <c r="Y30" s="35"/>
      <c r="Z30" s="35"/>
      <c r="AA30" s="43"/>
      <c r="AB30" s="40"/>
      <c r="AC30" s="40"/>
      <c r="AD30" s="23"/>
      <c r="AE30" s="23"/>
      <c r="AF30" s="4"/>
      <c r="AG30" s="4"/>
    </row>
    <row r="31" spans="1:33" s="21" customFormat="1">
      <c r="A31" s="25"/>
      <c r="B31" s="24">
        <f t="shared" si="0"/>
        <v>20</v>
      </c>
      <c r="C31" s="15"/>
      <c r="D31" s="5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59"/>
      <c r="V31" s="34"/>
      <c r="W31" s="68"/>
      <c r="X31" s="26"/>
      <c r="Y31" s="35"/>
      <c r="Z31" s="35"/>
      <c r="AA31" s="43"/>
      <c r="AB31" s="40"/>
      <c r="AC31" s="40"/>
      <c r="AD31" s="23"/>
      <c r="AE31" s="23"/>
      <c r="AF31" s="4"/>
      <c r="AG31" s="4"/>
    </row>
    <row r="32" spans="1:33" s="21" customFormat="1">
      <c r="A32" s="25"/>
      <c r="B32" s="24">
        <f t="shared" si="0"/>
        <v>21</v>
      </c>
      <c r="C32" s="15"/>
      <c r="D32" s="5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59"/>
      <c r="V32" s="34"/>
      <c r="W32" s="68"/>
      <c r="X32" s="26"/>
      <c r="Y32" s="35"/>
      <c r="Z32" s="35"/>
      <c r="AA32" s="43"/>
      <c r="AB32" s="40"/>
      <c r="AC32" s="40"/>
      <c r="AD32" s="23"/>
      <c r="AE32" s="23"/>
      <c r="AF32" s="4"/>
      <c r="AG32" s="4"/>
    </row>
    <row r="33" spans="1:33" s="21" customFormat="1">
      <c r="A33" s="25"/>
      <c r="B33" s="24">
        <f t="shared" si="0"/>
        <v>22</v>
      </c>
      <c r="C33" s="15"/>
      <c r="D33" s="5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59"/>
      <c r="V33" s="34"/>
      <c r="W33" s="68"/>
      <c r="X33" s="26"/>
      <c r="Y33" s="35"/>
      <c r="Z33" s="35"/>
      <c r="AA33" s="43"/>
      <c r="AB33" s="40"/>
      <c r="AC33" s="40"/>
      <c r="AD33" s="23"/>
      <c r="AE33" s="23"/>
      <c r="AF33" s="4"/>
      <c r="AG33" s="4"/>
    </row>
    <row r="34" spans="1:33" s="21" customFormat="1">
      <c r="A34" s="25"/>
      <c r="B34" s="24">
        <f t="shared" si="0"/>
        <v>23</v>
      </c>
      <c r="C34" s="15"/>
      <c r="D34" s="5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59"/>
      <c r="V34" s="34"/>
      <c r="W34" s="68"/>
      <c r="X34" s="26"/>
      <c r="Y34" s="35"/>
      <c r="Z34" s="35"/>
      <c r="AA34" s="43"/>
      <c r="AB34" s="40"/>
      <c r="AC34" s="40"/>
      <c r="AD34" s="23"/>
      <c r="AE34" s="23"/>
      <c r="AF34" s="4"/>
      <c r="AG34" s="4"/>
    </row>
    <row r="35" spans="1:33" s="21" customFormat="1">
      <c r="A35" s="25"/>
      <c r="B35" s="24">
        <f t="shared" si="0"/>
        <v>24</v>
      </c>
      <c r="C35" s="15"/>
      <c r="D35" s="5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59"/>
      <c r="V35" s="34"/>
      <c r="W35" s="68"/>
      <c r="X35" s="26"/>
      <c r="Y35" s="35"/>
      <c r="Z35" s="35"/>
      <c r="AA35" s="43"/>
      <c r="AB35" s="40"/>
      <c r="AC35" s="40"/>
      <c r="AD35" s="23"/>
      <c r="AE35" s="23"/>
      <c r="AF35" s="4"/>
      <c r="AG35" s="4"/>
    </row>
    <row r="36" spans="1:33" s="21" customFormat="1">
      <c r="A36" s="25"/>
      <c r="B36" s="24">
        <f t="shared" si="0"/>
        <v>25</v>
      </c>
      <c r="C36" s="15"/>
      <c r="D36" s="5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59"/>
      <c r="V36" s="34"/>
      <c r="W36" s="68"/>
      <c r="X36" s="26"/>
      <c r="Y36" s="35"/>
      <c r="Z36" s="35"/>
      <c r="AA36" s="43"/>
      <c r="AB36" s="40"/>
      <c r="AC36" s="40"/>
      <c r="AD36" s="23"/>
      <c r="AE36" s="23"/>
      <c r="AF36" s="4"/>
      <c r="AG36" s="4"/>
    </row>
    <row r="37" spans="1:33" s="21" customFormat="1">
      <c r="A37" s="25"/>
      <c r="B37" s="24">
        <f t="shared" si="0"/>
        <v>26</v>
      </c>
      <c r="C37" s="15"/>
      <c r="D37" s="5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59"/>
      <c r="V37" s="34"/>
      <c r="W37" s="68"/>
      <c r="X37" s="26"/>
      <c r="Y37" s="35"/>
      <c r="Z37" s="35"/>
      <c r="AA37" s="43"/>
      <c r="AB37" s="40"/>
      <c r="AC37" s="40"/>
      <c r="AD37" s="23"/>
      <c r="AE37" s="23"/>
      <c r="AF37" s="4"/>
      <c r="AG37" s="4"/>
    </row>
    <row r="38" spans="1:33" s="21" customFormat="1">
      <c r="A38" s="25"/>
      <c r="B38" s="24">
        <f t="shared" si="0"/>
        <v>27</v>
      </c>
      <c r="C38" s="15"/>
      <c r="D38" s="5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59"/>
      <c r="V38" s="34"/>
      <c r="W38" s="68"/>
      <c r="X38" s="26"/>
      <c r="Y38" s="35"/>
      <c r="Z38" s="35"/>
      <c r="AA38" s="43"/>
      <c r="AB38" s="40"/>
      <c r="AC38" s="40"/>
      <c r="AD38" s="23"/>
      <c r="AE38" s="23"/>
      <c r="AF38" s="4"/>
      <c r="AG38" s="4"/>
    </row>
    <row r="39" spans="1:33" s="21" customFormat="1">
      <c r="A39" s="25"/>
      <c r="B39" s="24">
        <f t="shared" si="0"/>
        <v>28</v>
      </c>
      <c r="C39" s="15"/>
      <c r="D39" s="5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59"/>
      <c r="V39" s="34"/>
      <c r="W39" s="68"/>
      <c r="X39" s="26"/>
      <c r="Y39" s="35"/>
      <c r="Z39" s="35"/>
      <c r="AA39" s="43"/>
      <c r="AB39" s="40"/>
      <c r="AC39" s="40"/>
      <c r="AD39" s="23"/>
      <c r="AE39" s="23"/>
      <c r="AF39" s="4"/>
      <c r="AG39" s="4"/>
    </row>
    <row r="40" spans="1:33" s="21" customFormat="1">
      <c r="A40" s="25"/>
      <c r="B40" s="24">
        <f t="shared" si="0"/>
        <v>29</v>
      </c>
      <c r="C40" s="15"/>
      <c r="D40" s="5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59"/>
      <c r="V40" s="34"/>
      <c r="W40" s="68"/>
      <c r="X40" s="26"/>
      <c r="Y40" s="35"/>
      <c r="Z40" s="35"/>
      <c r="AA40" s="43"/>
      <c r="AB40" s="40"/>
      <c r="AC40" s="40"/>
      <c r="AD40" s="23"/>
      <c r="AE40" s="23"/>
      <c r="AF40" s="4"/>
      <c r="AG40" s="4"/>
    </row>
    <row r="41" spans="1:33" s="21" customFormat="1">
      <c r="A41" s="25"/>
      <c r="B41" s="24">
        <f t="shared" si="0"/>
        <v>30</v>
      </c>
      <c r="C41" s="15"/>
      <c r="D41" s="5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59"/>
      <c r="V41" s="34"/>
      <c r="W41" s="68"/>
      <c r="X41" s="26"/>
      <c r="Y41" s="35"/>
      <c r="Z41" s="35"/>
      <c r="AA41" s="43"/>
      <c r="AB41" s="40"/>
      <c r="AC41" s="40"/>
      <c r="AD41" s="23"/>
      <c r="AE41" s="23"/>
      <c r="AF41" s="4"/>
      <c r="AG41" s="4"/>
    </row>
    <row r="42" spans="1:33" s="21" customFormat="1">
      <c r="A42" s="25"/>
      <c r="B42" s="24">
        <f t="shared" si="0"/>
        <v>31</v>
      </c>
      <c r="C42" s="15"/>
      <c r="D42" s="5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59"/>
      <c r="V42" s="34"/>
      <c r="W42" s="68"/>
      <c r="X42" s="26"/>
      <c r="Y42" s="35"/>
      <c r="Z42" s="35"/>
      <c r="AA42" s="43"/>
      <c r="AB42" s="40"/>
      <c r="AC42" s="40"/>
      <c r="AD42" s="23"/>
      <c r="AE42" s="23"/>
      <c r="AF42" s="4"/>
      <c r="AG42" s="4"/>
    </row>
    <row r="43" spans="1:33" s="21" customFormat="1">
      <c r="A43" s="25"/>
      <c r="B43" s="24">
        <f t="shared" si="0"/>
        <v>32</v>
      </c>
      <c r="C43" s="15"/>
      <c r="D43" s="5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59"/>
      <c r="V43" s="34"/>
      <c r="W43" s="68"/>
      <c r="X43" s="26"/>
      <c r="Y43" s="35"/>
      <c r="Z43" s="35"/>
      <c r="AA43" s="43"/>
      <c r="AB43" s="40"/>
      <c r="AC43" s="40"/>
      <c r="AD43" s="23"/>
      <c r="AE43" s="23"/>
      <c r="AF43" s="4"/>
      <c r="AG43" s="4"/>
    </row>
    <row r="44" spans="1:33" s="21" customFormat="1">
      <c r="A44" s="25"/>
      <c r="B44" s="24">
        <f t="shared" si="0"/>
        <v>33</v>
      </c>
      <c r="C44" s="15"/>
      <c r="D44" s="5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59"/>
      <c r="V44" s="34"/>
      <c r="W44" s="70"/>
      <c r="X44" s="26"/>
      <c r="Y44" s="35"/>
      <c r="Z44" s="35"/>
      <c r="AA44" s="43"/>
      <c r="AB44" s="40"/>
      <c r="AC44" s="40"/>
      <c r="AD44" s="23"/>
      <c r="AE44" s="23"/>
      <c r="AF44" s="4"/>
      <c r="AG44" s="4"/>
    </row>
    <row r="45" spans="1:33" s="21" customFormat="1">
      <c r="A45" s="25"/>
      <c r="B45" s="24">
        <f t="shared" si="0"/>
        <v>34</v>
      </c>
      <c r="C45" s="15"/>
      <c r="D45" s="5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59"/>
      <c r="V45" s="34"/>
      <c r="W45" s="70"/>
      <c r="X45" s="26"/>
      <c r="Y45" s="35"/>
      <c r="Z45" s="35"/>
      <c r="AA45" s="43"/>
      <c r="AB45" s="40"/>
      <c r="AC45" s="40"/>
      <c r="AD45" s="23"/>
      <c r="AE45" s="23"/>
      <c r="AF45" s="4"/>
      <c r="AG45" s="4"/>
    </row>
    <row r="46" spans="1:33" s="21" customFormat="1">
      <c r="A46" s="25"/>
      <c r="B46" s="24">
        <f t="shared" si="0"/>
        <v>35</v>
      </c>
      <c r="C46" s="15"/>
      <c r="D46" s="5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59"/>
      <c r="V46" s="34"/>
      <c r="W46" s="70"/>
      <c r="X46" s="26"/>
      <c r="Y46" s="35"/>
      <c r="Z46" s="35"/>
      <c r="AA46" s="43"/>
      <c r="AB46" s="40"/>
      <c r="AC46" s="40"/>
      <c r="AD46" s="23"/>
      <c r="AE46" s="23"/>
      <c r="AF46" s="4"/>
      <c r="AG46" s="4"/>
    </row>
    <row r="47" spans="1:33" s="21" customFormat="1">
      <c r="A47" s="25"/>
      <c r="B47" s="24">
        <f t="shared" si="0"/>
        <v>36</v>
      </c>
      <c r="C47" s="15"/>
      <c r="D47" s="5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59"/>
      <c r="V47" s="34"/>
      <c r="W47" s="70"/>
      <c r="X47" s="26"/>
      <c r="Y47" s="35"/>
      <c r="Z47" s="35"/>
      <c r="AA47" s="43"/>
      <c r="AB47" s="40"/>
      <c r="AC47" s="40"/>
      <c r="AD47" s="23"/>
      <c r="AE47" s="23"/>
      <c r="AF47" s="4"/>
      <c r="AG47" s="4"/>
    </row>
    <row r="48" spans="1:33" s="21" customFormat="1">
      <c r="A48" s="25"/>
      <c r="B48" s="24">
        <f t="shared" si="0"/>
        <v>37</v>
      </c>
      <c r="C48" s="15"/>
      <c r="D48" s="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59"/>
      <c r="V48" s="34"/>
      <c r="W48" s="70"/>
      <c r="X48" s="26"/>
      <c r="Y48" s="35"/>
      <c r="Z48" s="35"/>
      <c r="AA48" s="43"/>
      <c r="AB48" s="40"/>
      <c r="AC48" s="40"/>
      <c r="AD48" s="23"/>
      <c r="AE48" s="23"/>
      <c r="AF48" s="4"/>
      <c r="AG48" s="4"/>
    </row>
    <row r="49" spans="1:33" s="21" customFormat="1">
      <c r="A49" s="25"/>
      <c r="B49" s="24">
        <f t="shared" si="0"/>
        <v>38</v>
      </c>
      <c r="C49" s="15"/>
      <c r="D49" s="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59"/>
      <c r="V49" s="26"/>
      <c r="W49" s="68"/>
      <c r="X49" s="26"/>
      <c r="Y49" s="35"/>
      <c r="Z49" s="35"/>
      <c r="AA49" s="43"/>
      <c r="AB49" s="40"/>
      <c r="AC49" s="40"/>
      <c r="AD49" s="23"/>
      <c r="AE49" s="23"/>
      <c r="AF49" s="4"/>
      <c r="AG49" s="4"/>
    </row>
    <row r="50" spans="1:33" s="21" customFormat="1">
      <c r="A50" s="25"/>
      <c r="B50" s="24">
        <f t="shared" si="0"/>
        <v>39</v>
      </c>
      <c r="C50" s="71"/>
      <c r="D50" s="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59"/>
      <c r="V50" s="26"/>
      <c r="W50" s="26"/>
      <c r="X50" s="26"/>
      <c r="Y50" s="35"/>
      <c r="Z50" s="35"/>
      <c r="AA50" s="43"/>
      <c r="AB50" s="40"/>
      <c r="AC50" s="40"/>
      <c r="AD50" s="23"/>
      <c r="AE50" s="23"/>
      <c r="AF50" s="4"/>
      <c r="AG50" s="4"/>
    </row>
    <row r="51" spans="1:33" s="21" customFormat="1">
      <c r="A51" s="25"/>
      <c r="B51" s="24">
        <f t="shared" si="0"/>
        <v>40</v>
      </c>
      <c r="C51" s="71"/>
      <c r="D51" s="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59"/>
      <c r="V51" s="72"/>
      <c r="W51" s="26"/>
      <c r="X51" s="26"/>
      <c r="Y51" s="35"/>
      <c r="Z51" s="35"/>
      <c r="AA51" s="43"/>
      <c r="AB51" s="40"/>
      <c r="AC51" s="40"/>
      <c r="AD51" s="23"/>
      <c r="AE51" s="23"/>
      <c r="AF51" s="4"/>
      <c r="AG51" s="4"/>
    </row>
    <row r="52" spans="1:33" s="21" customFormat="1">
      <c r="A52" s="25"/>
      <c r="B52" s="24">
        <f t="shared" si="0"/>
        <v>41</v>
      </c>
      <c r="C52" s="71"/>
      <c r="D52" s="5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59"/>
      <c r="V52" s="26"/>
      <c r="W52" s="26"/>
      <c r="X52" s="26"/>
      <c r="Y52" s="35"/>
      <c r="Z52" s="35"/>
      <c r="AA52" s="43"/>
      <c r="AB52" s="40"/>
      <c r="AC52" s="40"/>
      <c r="AD52" s="23"/>
      <c r="AE52" s="23"/>
      <c r="AF52" s="4"/>
      <c r="AG52" s="4"/>
    </row>
    <row r="53" spans="1:33" s="21" customFormat="1">
      <c r="A53" s="25"/>
      <c r="B53" s="24">
        <f t="shared" si="0"/>
        <v>42</v>
      </c>
      <c r="C53" s="71"/>
      <c r="D53" s="5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59"/>
      <c r="V53" s="72"/>
      <c r="W53" s="26"/>
      <c r="X53" s="26"/>
      <c r="Y53" s="35"/>
      <c r="Z53" s="35"/>
      <c r="AA53" s="43"/>
      <c r="AB53" s="40"/>
      <c r="AC53" s="40"/>
      <c r="AD53" s="23"/>
      <c r="AE53" s="23"/>
      <c r="AF53" s="4"/>
      <c r="AG53" s="4"/>
    </row>
    <row r="54" spans="1:33" s="21" customFormat="1">
      <c r="A54" s="25"/>
      <c r="B54" s="24">
        <f t="shared" si="0"/>
        <v>43</v>
      </c>
      <c r="C54" s="34"/>
      <c r="D54" s="5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59"/>
      <c r="V54" s="72"/>
      <c r="W54" s="68"/>
      <c r="X54" s="26"/>
      <c r="Y54" s="35"/>
      <c r="Z54" s="35"/>
      <c r="AA54" s="43"/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0"/>
        <v>44</v>
      </c>
      <c r="C55" s="34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68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0"/>
        <v>45</v>
      </c>
      <c r="C56" s="15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34"/>
      <c r="W56" s="70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26"/>
      <c r="W57" s="68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71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26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72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26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72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34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68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15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34"/>
      <c r="W63" s="70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26"/>
      <c r="W66" s="68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71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26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72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26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72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34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68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71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26"/>
      <c r="W72" s="26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72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34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68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15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26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4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68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34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3" customFormat="1">
      <c r="A105" s="22"/>
      <c r="B105" s="24">
        <f t="shared" si="1"/>
        <v>94</v>
      </c>
      <c r="C105" s="15"/>
      <c r="D105" s="72"/>
      <c r="E105" s="73"/>
      <c r="F105" s="73"/>
      <c r="G105" s="73"/>
      <c r="H105" s="73"/>
      <c r="I105" s="73"/>
      <c r="J105" s="73"/>
      <c r="K105" s="74"/>
      <c r="L105" s="73"/>
      <c r="M105" s="73"/>
      <c r="N105" s="73"/>
      <c r="O105" s="26"/>
      <c r="P105" s="73"/>
      <c r="Q105" s="73"/>
      <c r="R105" s="73"/>
      <c r="S105" s="72"/>
      <c r="T105" s="73"/>
      <c r="U105" s="73"/>
      <c r="V105" s="73"/>
      <c r="W105" s="26"/>
      <c r="X105" s="26"/>
      <c r="Y105" s="26"/>
      <c r="Z105" s="75"/>
      <c r="AA105" s="76"/>
      <c r="AB105" s="77"/>
      <c r="AC105" s="77"/>
      <c r="AF105" s="4"/>
      <c r="AG105" s="4"/>
    </row>
    <row r="106" spans="1:33" s="27" customFormat="1">
      <c r="A106" s="25"/>
      <c r="B106" s="24">
        <f t="shared" si="1"/>
        <v>95</v>
      </c>
      <c r="C106" s="15"/>
      <c r="D106" s="5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59"/>
      <c r="V106" s="68"/>
      <c r="W106" s="68"/>
      <c r="X106" s="26"/>
      <c r="Y106" s="35"/>
      <c r="Z106" s="35"/>
      <c r="AA106" s="43"/>
      <c r="AB106" s="40"/>
      <c r="AC106" s="40"/>
      <c r="AD106" s="23"/>
      <c r="AE106" s="23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72"/>
      <c r="E107" s="73"/>
      <c r="F107" s="73"/>
      <c r="G107" s="73"/>
      <c r="H107" s="73"/>
      <c r="I107" s="73"/>
      <c r="J107" s="73"/>
      <c r="K107" s="74"/>
      <c r="L107" s="73"/>
      <c r="M107" s="73"/>
      <c r="N107" s="73"/>
      <c r="O107" s="26"/>
      <c r="P107" s="73"/>
      <c r="Q107" s="73"/>
      <c r="R107" s="73"/>
      <c r="S107" s="72"/>
      <c r="T107" s="73"/>
      <c r="U107" s="73"/>
      <c r="V107" s="73"/>
      <c r="W107" s="26"/>
      <c r="X107" s="26"/>
      <c r="Y107" s="26"/>
      <c r="Z107" s="75"/>
      <c r="AA107" s="76"/>
      <c r="AB107" s="77"/>
      <c r="AC107" s="77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ht="12.6" thickBot="1">
      <c r="A114" s="78"/>
      <c r="B114" s="79">
        <f t="shared" si="1"/>
        <v>103</v>
      </c>
      <c r="C114" s="80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3"/>
      <c r="V114" s="83"/>
      <c r="W114" s="79"/>
      <c r="X114" s="82"/>
      <c r="Y114" s="84"/>
      <c r="Z114" s="84"/>
      <c r="AA114" s="85"/>
      <c r="AB114" s="86"/>
      <c r="AC114" s="86"/>
      <c r="AD114" s="23"/>
      <c r="AE114" s="23"/>
    </row>
    <row r="115" spans="1:33">
      <c r="A115" s="3"/>
      <c r="B115" s="3"/>
      <c r="C115" s="11"/>
      <c r="D115" s="88"/>
      <c r="E115" s="3"/>
      <c r="F115" s="3"/>
      <c r="G115" s="3"/>
      <c r="H115" s="3"/>
      <c r="I115" s="3"/>
      <c r="J115" s="3"/>
      <c r="K115" s="2"/>
      <c r="L115" s="3"/>
      <c r="M115" s="3"/>
      <c r="N115" s="3"/>
      <c r="O115" s="6"/>
      <c r="P115" s="3"/>
      <c r="Q115" s="3"/>
      <c r="R115" s="3"/>
      <c r="S115" s="88"/>
      <c r="T115" s="3"/>
      <c r="U115" s="3"/>
      <c r="V115" s="3"/>
      <c r="W115" s="6"/>
      <c r="X115" s="6"/>
      <c r="Y115" s="6"/>
      <c r="Z115" s="6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28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9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30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1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2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26:AC114 B12:B24 AB12:AC24">
    <cfRule type="expression" dxfId="383" priority="26">
      <formula>NOT(ISBLANK(INDIRECT("RC28",FALSE)))</formula>
    </cfRule>
  </conditionalFormatting>
  <conditionalFormatting sqref="C26:AC114 AB12:AC24">
    <cfRule type="expression" dxfId="382" priority="25" stopIfTrue="1">
      <formula>AND(ISBLANK(INDIRECT("RC2",FALSE)),NOT(ISBLANK(INDIRECT("RC3",FALSE))))</formula>
    </cfRule>
  </conditionalFormatting>
  <conditionalFormatting sqref="C21:AA24">
    <cfRule type="expression" dxfId="381" priority="24">
      <formula>NOT(ISBLANK(INDIRECT("RC28",FALSE)))</formula>
    </cfRule>
  </conditionalFormatting>
  <conditionalFormatting sqref="C21:AA24">
    <cfRule type="expression" dxfId="380" priority="23" stopIfTrue="1">
      <formula>AND(ISBLANK(INDIRECT("RC2",FALSE)),NOT(ISBLANK(INDIRECT("RC3",FALSE))))</formula>
    </cfRule>
  </conditionalFormatting>
  <conditionalFormatting sqref="B25 AB25:AC25">
    <cfRule type="expression" dxfId="379" priority="22">
      <formula>NOT(ISBLANK(INDIRECT("RC28",FALSE)))</formula>
    </cfRule>
  </conditionalFormatting>
  <conditionalFormatting sqref="AB25:AC25">
    <cfRule type="expression" dxfId="378" priority="21" stopIfTrue="1">
      <formula>AND(ISBLANK(INDIRECT("RC2",FALSE)),NOT(ISBLANK(INDIRECT("RC3",FALSE))))</formula>
    </cfRule>
  </conditionalFormatting>
  <conditionalFormatting sqref="C25:AA25">
    <cfRule type="expression" dxfId="377" priority="20">
      <formula>NOT(ISBLANK(INDIRECT("RC28",FALSE)))</formula>
    </cfRule>
  </conditionalFormatting>
  <conditionalFormatting sqref="C25:AA25">
    <cfRule type="expression" dxfId="376" priority="19" stopIfTrue="1">
      <formula>AND(ISBLANK(INDIRECT("RC2",FALSE)),NOT(ISBLANK(INDIRECT("RC3",FALSE))))</formula>
    </cfRule>
  </conditionalFormatting>
  <conditionalFormatting sqref="C12:AA12 E13:AA13 C14:AA14">
    <cfRule type="expression" dxfId="375" priority="15">
      <formula>NOT(ISBLANK(INDIRECT("RC28",FALSE)))</formula>
    </cfRule>
  </conditionalFormatting>
  <conditionalFormatting sqref="C12:AA12 E13:AA13 C14:AA14">
    <cfRule type="expression" dxfId="374" priority="16" stopIfTrue="1">
      <formula>AND(ISBLANK(INDIRECT("RC2",FALSE)),NOT(ISBLANK(INDIRECT("RC3",FALSE))))</formula>
    </cfRule>
  </conditionalFormatting>
  <conditionalFormatting sqref="C13:D13">
    <cfRule type="expression" dxfId="373" priority="17" stopIfTrue="1">
      <formula>AND(ISBLANK(INDIRECT("RC2",FALSE)),NOT(ISBLANK(INDIRECT("RC3",FALSE))))</formula>
    </cfRule>
  </conditionalFormatting>
  <conditionalFormatting sqref="C13:D13">
    <cfRule type="expression" dxfId="372" priority="18">
      <formula>NOT(ISBLANK(INDIRECT("RC28",FALSE)))</formula>
    </cfRule>
  </conditionalFormatting>
  <conditionalFormatting sqref="C15:AA20">
    <cfRule type="expression" dxfId="371" priority="1">
      <formula>NOT(ISBLANK(INDIRECT("RC28",FALSE)))</formula>
    </cfRule>
  </conditionalFormatting>
  <conditionalFormatting sqref="C15:AA20">
    <cfRule type="expression" dxfId="370" priority="2" stopIfTrue="1">
      <formula>AND(ISBLANK(INDIRECT("RC2",FALSE)),NOT(ISBLANK(INDIRECT("RC3",FALSE))))</formula>
    </cfRule>
  </conditionalFormatting>
  <conditionalFormatting sqref="E18:AA18 C19:AA19 V17">
    <cfRule type="expression" dxfId="369" priority="3">
      <formula>NOT(ISBLANK(INDIRECT("RC28",FALSE)))</formula>
    </cfRule>
  </conditionalFormatting>
  <conditionalFormatting sqref="E18:AA18 C19:AA19 V17">
    <cfRule type="expression" dxfId="368" priority="4" stopIfTrue="1">
      <formula>AND(ISBLANK(INDIRECT("RC2",FALSE)),NOT(ISBLANK(INDIRECT("RC3",FALSE))))</formula>
    </cfRule>
  </conditionalFormatting>
  <conditionalFormatting sqref="C18:D18">
    <cfRule type="expression" dxfId="367" priority="5" stopIfTrue="1">
      <formula>AND(ISBLANK(INDIRECT("RC2",FALSE)),NOT(ISBLANK(INDIRECT("RC3",FALSE))))</formula>
    </cfRule>
  </conditionalFormatting>
  <conditionalFormatting sqref="C18:D18">
    <cfRule type="expression" dxfId="366" priority="6">
      <formula>NOT(ISBLANK(INDIRECT("RC28",FALSE)))</formula>
    </cfRule>
  </conditionalFormatting>
  <conditionalFormatting sqref="C19:D19">
    <cfRule type="expression" dxfId="365" priority="7" stopIfTrue="1">
      <formula>AND(ISBLANK(INDIRECT("RC2",FALSE)),NOT(ISBLANK(INDIRECT("RC3",FALSE))))</formula>
    </cfRule>
  </conditionalFormatting>
  <conditionalFormatting sqref="C19:D19">
    <cfRule type="expression" dxfId="364" priority="8">
      <formula>NOT(ISBLANK(INDIRECT("RC28",FALSE)))</formula>
    </cfRule>
  </conditionalFormatting>
  <conditionalFormatting sqref="E16:AA16 V15 V17:V18 C17:U17 W17:AA17">
    <cfRule type="expression" dxfId="363" priority="9">
      <formula>NOT(ISBLANK(INDIRECT("RC28",FALSE)))</formula>
    </cfRule>
  </conditionalFormatting>
  <conditionalFormatting sqref="E16:AA16 C17:AA17 V15 V18">
    <cfRule type="expression" dxfId="362" priority="10" stopIfTrue="1">
      <formula>AND(ISBLANK(INDIRECT("RC2",FALSE)),NOT(ISBLANK(INDIRECT("RC3",FALSE))))</formula>
    </cfRule>
  </conditionalFormatting>
  <conditionalFormatting sqref="C16:D16">
    <cfRule type="expression" dxfId="361" priority="11" stopIfTrue="1">
      <formula>AND(ISBLANK(INDIRECT("RC2",FALSE)),NOT(ISBLANK(INDIRECT("RC3",FALSE))))</formula>
    </cfRule>
  </conditionalFormatting>
  <conditionalFormatting sqref="C16:D16">
    <cfRule type="expression" dxfId="360" priority="12">
      <formula>NOT(ISBLANK(INDIRECT("RC28",FALSE)))</formula>
    </cfRule>
  </conditionalFormatting>
  <conditionalFormatting sqref="C17:D17">
    <cfRule type="expression" dxfId="359" priority="13" stopIfTrue="1">
      <formula>AND(ISBLANK(INDIRECT("RC2",FALSE)),NOT(ISBLANK(INDIRECT("RC3",FALSE))))</formula>
    </cfRule>
  </conditionalFormatting>
  <conditionalFormatting sqref="C17:D17">
    <cfRule type="expression" dxfId="358" priority="14">
      <formula>NOT(ISBLANK(INDIRECT("RC28",FALSE)))</formula>
    </cfRule>
  </conditionalFormatting>
  <dataValidations count="6">
    <dataValidation type="list" allowBlank="1" showInputMessage="1" showErrorMessage="1" sqref="F11:T11" xr:uid="{00000000-0002-0000-0800-000000000000}">
      <formula1>"IN,uIN,BR,uBR"</formula1>
    </dataValidation>
    <dataValidation type="list" allowBlank="1" showInputMessage="1" showErrorMessage="1" sqref="AC12:AC114" xr:uid="{00000000-0002-0000-0800-000001000000}">
      <formula1>"親,子"</formula1>
    </dataValidation>
    <dataValidation type="list" allowBlank="1" showInputMessage="1" showErrorMessage="1" sqref="V21:V114" xr:uid="{00000000-0002-0000-0800-000002000000}">
      <formula1>"TEXT,VARCHAR,CHAR,NUMERIC,integer,boolean,bytea,DATE(時刻無),TIMESTAMP"</formula1>
    </dataValidation>
    <dataValidation type="list" allowBlank="1" showInputMessage="1" showErrorMessage="1" sqref="AB12:AB114 J5:T5 U21:U114" xr:uid="{00000000-0002-0000-0800-000003000000}">
      <formula1>"○"</formula1>
    </dataValidation>
    <dataValidation type="list" allowBlank="1" showErrorMessage="1" sqref="U12:U20" xr:uid="{00000000-0002-0000-0800-000004000000}">
      <formula1>"○"</formula1>
    </dataValidation>
    <dataValidation type="list" allowBlank="1" showErrorMessage="1" sqref="V12:V20" xr:uid="{00000000-0002-0000-0800-000005000000}">
      <formula1>"TEXT,VARCHAR,CHAR,NUMERIC,integer,boolean,bytea,DATE(時刻無),TIMESTAMP"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5">
    <pageSetUpPr fitToPage="1"/>
  </sheetPr>
  <dimension ref="A1:AG194"/>
  <sheetViews>
    <sheetView showGridLines="0" zoomScale="126" zoomScaleNormal="126" zoomScaleSheetLayoutView="100" workbookViewId="0">
      <selection activeCell="D2" sqref="D2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380</v>
      </c>
      <c r="B2" s="241"/>
      <c r="C2" s="242"/>
      <c r="D2" s="58" t="s">
        <v>381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382</v>
      </c>
      <c r="B3" s="235"/>
      <c r="C3" s="236"/>
      <c r="D3" s="57" t="s">
        <v>383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181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600000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384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385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386</v>
      </c>
      <c r="V9" s="285" t="s">
        <v>30</v>
      </c>
      <c r="W9" s="285" t="s">
        <v>387</v>
      </c>
      <c r="X9" s="285" t="s">
        <v>388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389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108">
        <f t="shared" ref="B12:B75" si="0">ROW()-11</f>
        <v>1</v>
      </c>
      <c r="C12" s="91" t="s">
        <v>183</v>
      </c>
      <c r="D12" s="92" t="s">
        <v>184</v>
      </c>
      <c r="E12" s="92">
        <v>1</v>
      </c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28</v>
      </c>
      <c r="W12" s="95">
        <v>10</v>
      </c>
      <c r="X12" s="92"/>
      <c r="Y12" s="96"/>
      <c r="Z12" s="96"/>
      <c r="AA12" s="97" t="s">
        <v>184</v>
      </c>
      <c r="AB12" s="152"/>
      <c r="AC12" s="152"/>
      <c r="AD12" s="27"/>
      <c r="AE12" s="27"/>
      <c r="AG12" s="4"/>
    </row>
    <row r="13" spans="1:33" s="21" customFormat="1">
      <c r="A13" s="25"/>
      <c r="B13" s="108">
        <f t="shared" si="0"/>
        <v>2</v>
      </c>
      <c r="C13" s="106" t="s">
        <v>390</v>
      </c>
      <c r="D13" s="100" t="s">
        <v>391</v>
      </c>
      <c r="E13" s="100">
        <v>2</v>
      </c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2" t="s">
        <v>27</v>
      </c>
      <c r="V13" s="154" t="s">
        <v>74</v>
      </c>
      <c r="W13" s="100"/>
      <c r="X13" s="100"/>
      <c r="Y13" s="103"/>
      <c r="Z13" s="104"/>
      <c r="AA13" s="105" t="s">
        <v>392</v>
      </c>
      <c r="AB13" s="152"/>
      <c r="AC13" s="152"/>
      <c r="AD13" s="27"/>
      <c r="AE13" s="33" t="s">
        <v>75</v>
      </c>
      <c r="AF13" s="4"/>
      <c r="AG13" s="4"/>
    </row>
    <row r="14" spans="1:33" s="21" customFormat="1">
      <c r="A14" s="25"/>
      <c r="B14" s="108">
        <f t="shared" si="0"/>
        <v>3</v>
      </c>
      <c r="C14" s="146" t="s">
        <v>394</v>
      </c>
      <c r="D14" s="147" t="s">
        <v>396</v>
      </c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02"/>
      <c r="V14" s="150" t="s">
        <v>397</v>
      </c>
      <c r="W14" s="148">
        <v>10</v>
      </c>
      <c r="X14" s="148"/>
      <c r="Y14" s="151"/>
      <c r="Z14" s="151">
        <v>10</v>
      </c>
      <c r="AA14" s="105" t="s">
        <v>396</v>
      </c>
      <c r="AB14" s="152"/>
      <c r="AC14" s="152"/>
      <c r="AD14" s="42" t="s">
        <v>398</v>
      </c>
      <c r="AE14" s="33" t="s">
        <v>53</v>
      </c>
      <c r="AG14" s="4"/>
    </row>
    <row r="15" spans="1:33" s="21" customFormat="1">
      <c r="A15" s="25"/>
      <c r="B15" s="108">
        <f t="shared" si="0"/>
        <v>4</v>
      </c>
      <c r="C15" s="146" t="s">
        <v>399</v>
      </c>
      <c r="D15" s="147" t="s">
        <v>400</v>
      </c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02" t="s">
        <v>27</v>
      </c>
      <c r="V15" s="150" t="s">
        <v>397</v>
      </c>
      <c r="W15" s="148">
        <v>10</v>
      </c>
      <c r="X15" s="148"/>
      <c r="Y15" s="151"/>
      <c r="Z15" s="151">
        <v>10</v>
      </c>
      <c r="AA15" s="105" t="s">
        <v>400</v>
      </c>
      <c r="AB15" s="152"/>
      <c r="AC15" s="152"/>
      <c r="AD15" s="42" t="s">
        <v>398</v>
      </c>
      <c r="AE15" s="33" t="s">
        <v>53</v>
      </c>
      <c r="AG15" s="4"/>
    </row>
    <row r="16" spans="1:33" s="21" customFormat="1">
      <c r="A16" s="25"/>
      <c r="B16" s="108">
        <f t="shared" si="0"/>
        <v>5</v>
      </c>
      <c r="C16" s="106" t="s">
        <v>401</v>
      </c>
      <c r="D16" s="100" t="s">
        <v>402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2" t="s">
        <v>27</v>
      </c>
      <c r="V16" s="100" t="s">
        <v>29</v>
      </c>
      <c r="W16" s="100"/>
      <c r="X16" s="100"/>
      <c r="Y16" s="103"/>
      <c r="Z16" s="103"/>
      <c r="AA16" s="105" t="s">
        <v>403</v>
      </c>
      <c r="AB16" s="152"/>
      <c r="AC16" s="152"/>
      <c r="AD16" s="27"/>
      <c r="AE16" s="33" t="s">
        <v>76</v>
      </c>
      <c r="AF16" s="4"/>
      <c r="AG16" s="4"/>
    </row>
    <row r="17" spans="1:33" s="21" customFormat="1">
      <c r="A17" s="25"/>
      <c r="B17" s="108">
        <f t="shared" si="0"/>
        <v>6</v>
      </c>
      <c r="C17" s="98" t="s">
        <v>404</v>
      </c>
      <c r="D17" s="99" t="s">
        <v>405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2"/>
      <c r="V17" s="100" t="s">
        <v>29</v>
      </c>
      <c r="W17" s="107"/>
      <c r="X17" s="100"/>
      <c r="Y17" s="103"/>
      <c r="Z17" s="103"/>
      <c r="AA17" s="105" t="s">
        <v>406</v>
      </c>
      <c r="AB17" s="152"/>
      <c r="AC17" s="152"/>
      <c r="AD17" s="23"/>
      <c r="AE17" s="33" t="s">
        <v>407</v>
      </c>
      <c r="AF17" s="4"/>
      <c r="AG17" s="4"/>
    </row>
    <row r="18" spans="1:33" s="21" customFormat="1">
      <c r="A18" s="25"/>
      <c r="B18" s="108">
        <f t="shared" si="0"/>
        <v>7</v>
      </c>
      <c r="C18" s="98" t="s">
        <v>408</v>
      </c>
      <c r="D18" s="99" t="s">
        <v>409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2"/>
      <c r="V18" s="100" t="s">
        <v>33</v>
      </c>
      <c r="W18" s="100">
        <v>100</v>
      </c>
      <c r="X18" s="100"/>
      <c r="Y18" s="103"/>
      <c r="Z18" s="104">
        <v>100</v>
      </c>
      <c r="AA18" s="105" t="s">
        <v>409</v>
      </c>
      <c r="AB18" s="152"/>
      <c r="AC18" s="152"/>
      <c r="AD18" s="23"/>
      <c r="AE18" s="23"/>
      <c r="AF18" s="4"/>
      <c r="AG18" s="4"/>
    </row>
    <row r="19" spans="1:33" s="21" customFormat="1">
      <c r="A19" s="25"/>
      <c r="B19" s="108">
        <f t="shared" si="0"/>
        <v>8</v>
      </c>
      <c r="C19" s="106" t="s">
        <v>410</v>
      </c>
      <c r="D19" s="100" t="s">
        <v>411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2"/>
      <c r="V19" s="100" t="s">
        <v>33</v>
      </c>
      <c r="W19" s="107">
        <v>1024</v>
      </c>
      <c r="X19" s="100"/>
      <c r="Y19" s="103"/>
      <c r="Z19" s="104">
        <v>1024</v>
      </c>
      <c r="AA19" s="105" t="s">
        <v>411</v>
      </c>
      <c r="AB19" s="152"/>
      <c r="AC19" s="152"/>
      <c r="AD19" s="32" t="s">
        <v>412</v>
      </c>
      <c r="AE19" s="33" t="s">
        <v>14</v>
      </c>
      <c r="AF19" s="4"/>
      <c r="AG19" s="4"/>
    </row>
    <row r="20" spans="1:33" s="21" customFormat="1">
      <c r="A20" s="25"/>
      <c r="B20" s="108">
        <f t="shared" si="0"/>
        <v>9</v>
      </c>
      <c r="C20" s="106" t="s">
        <v>413</v>
      </c>
      <c r="D20" s="100" t="s">
        <v>414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2"/>
      <c r="V20" s="100" t="s">
        <v>33</v>
      </c>
      <c r="W20" s="100">
        <v>256</v>
      </c>
      <c r="X20" s="100"/>
      <c r="Y20" s="103"/>
      <c r="Z20" s="104">
        <v>100</v>
      </c>
      <c r="AA20" s="105" t="s">
        <v>414</v>
      </c>
      <c r="AB20" s="152"/>
      <c r="AC20" s="152"/>
      <c r="AD20" s="42" t="s">
        <v>52</v>
      </c>
      <c r="AE20" s="33" t="s">
        <v>54</v>
      </c>
      <c r="AF20" s="4"/>
      <c r="AG20" s="4"/>
    </row>
    <row r="21" spans="1:33" s="21" customFormat="1">
      <c r="A21" s="25"/>
      <c r="B21" s="108">
        <f t="shared" si="0"/>
        <v>10</v>
      </c>
      <c r="C21" s="106" t="s">
        <v>415</v>
      </c>
      <c r="D21" s="100" t="s">
        <v>416</v>
      </c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2"/>
      <c r="V21" s="100" t="s">
        <v>33</v>
      </c>
      <c r="W21" s="107">
        <v>1024</v>
      </c>
      <c r="X21" s="100"/>
      <c r="Y21" s="103"/>
      <c r="Z21" s="104">
        <v>512</v>
      </c>
      <c r="AA21" s="105" t="s">
        <v>416</v>
      </c>
      <c r="AB21" s="152"/>
      <c r="AC21" s="152"/>
      <c r="AD21" s="41" t="s">
        <v>50</v>
      </c>
      <c r="AE21" s="33" t="s">
        <v>51</v>
      </c>
      <c r="AF21" s="4"/>
      <c r="AG21" s="4"/>
    </row>
    <row r="22" spans="1:33" s="21" customFormat="1">
      <c r="A22" s="25"/>
      <c r="B22" s="108">
        <f t="shared" si="0"/>
        <v>11</v>
      </c>
      <c r="C22" s="153" t="s">
        <v>68</v>
      </c>
      <c r="D22" s="147" t="s">
        <v>87</v>
      </c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9" t="s">
        <v>27</v>
      </c>
      <c r="V22" s="154" t="s">
        <v>28</v>
      </c>
      <c r="W22" s="155">
        <v>1</v>
      </c>
      <c r="X22" s="148"/>
      <c r="Y22" s="151"/>
      <c r="Z22" s="151"/>
      <c r="AA22" s="156" t="s">
        <v>87</v>
      </c>
      <c r="AB22" s="152"/>
      <c r="AC22" s="152"/>
      <c r="AD22" s="27"/>
      <c r="AE22" s="27"/>
      <c r="AF22" s="4"/>
      <c r="AG22" s="4"/>
    </row>
    <row r="23" spans="1:33" s="21" customFormat="1">
      <c r="A23" s="25"/>
      <c r="B23" s="108">
        <f t="shared" si="0"/>
        <v>12</v>
      </c>
      <c r="C23" s="153" t="s">
        <v>69</v>
      </c>
      <c r="D23" s="147" t="s">
        <v>88</v>
      </c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9" t="s">
        <v>27</v>
      </c>
      <c r="V23" s="154" t="s">
        <v>29</v>
      </c>
      <c r="W23" s="155"/>
      <c r="X23" s="148"/>
      <c r="Y23" s="151"/>
      <c r="Z23" s="151"/>
      <c r="AA23" s="156" t="s">
        <v>88</v>
      </c>
      <c r="AB23" s="152"/>
      <c r="AC23" s="152"/>
      <c r="AD23" s="27"/>
      <c r="AE23" s="27"/>
      <c r="AF23" s="4"/>
      <c r="AG23" s="4"/>
    </row>
    <row r="24" spans="1:33" s="21" customFormat="1">
      <c r="A24" s="25"/>
      <c r="B24" s="108">
        <f t="shared" si="0"/>
        <v>13</v>
      </c>
      <c r="C24" s="153" t="s">
        <v>70</v>
      </c>
      <c r="D24" s="147" t="s">
        <v>89</v>
      </c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9" t="s">
        <v>27</v>
      </c>
      <c r="V24" s="154" t="s">
        <v>33</v>
      </c>
      <c r="W24" s="155">
        <v>20</v>
      </c>
      <c r="X24" s="148"/>
      <c r="Y24" s="151"/>
      <c r="Z24" s="151">
        <v>15</v>
      </c>
      <c r="AA24" s="156" t="s">
        <v>89</v>
      </c>
      <c r="AB24" s="152"/>
      <c r="AC24" s="152"/>
      <c r="AD24" s="27"/>
      <c r="AE24" s="27"/>
      <c r="AF24" s="4"/>
      <c r="AG24" s="4"/>
    </row>
    <row r="25" spans="1:33" s="21" customFormat="1">
      <c r="A25" s="25"/>
      <c r="B25" s="108">
        <f t="shared" si="0"/>
        <v>14</v>
      </c>
      <c r="C25" s="153" t="s">
        <v>71</v>
      </c>
      <c r="D25" s="147" t="s">
        <v>90</v>
      </c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9" t="s">
        <v>27</v>
      </c>
      <c r="V25" s="154" t="s">
        <v>29</v>
      </c>
      <c r="W25" s="155"/>
      <c r="X25" s="148"/>
      <c r="Y25" s="151"/>
      <c r="Z25" s="151"/>
      <c r="AA25" s="156" t="s">
        <v>90</v>
      </c>
      <c r="AB25" s="152"/>
      <c r="AC25" s="152"/>
      <c r="AD25" s="23"/>
      <c r="AE25" s="23"/>
      <c r="AF25" s="4"/>
      <c r="AG25" s="4"/>
    </row>
    <row r="26" spans="1:33" s="21" customFormat="1">
      <c r="A26" s="25"/>
      <c r="B26" s="108">
        <f t="shared" si="0"/>
        <v>15</v>
      </c>
      <c r="C26" s="153" t="s">
        <v>72</v>
      </c>
      <c r="D26" s="147" t="s">
        <v>91</v>
      </c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9" t="s">
        <v>27</v>
      </c>
      <c r="V26" s="154" t="s">
        <v>33</v>
      </c>
      <c r="W26" s="158">
        <v>20</v>
      </c>
      <c r="X26" s="148"/>
      <c r="Y26" s="151"/>
      <c r="Z26" s="151">
        <v>15</v>
      </c>
      <c r="AA26" s="156" t="s">
        <v>91</v>
      </c>
      <c r="AB26" s="152"/>
      <c r="AC26" s="152"/>
      <c r="AD26" s="23"/>
      <c r="AE26" s="23"/>
      <c r="AF26" s="4"/>
      <c r="AG26" s="4"/>
    </row>
    <row r="27" spans="1:33" s="21" customFormat="1">
      <c r="A27" s="25"/>
      <c r="B27" s="108">
        <f t="shared" si="0"/>
        <v>16</v>
      </c>
      <c r="C27" s="153" t="s">
        <v>73</v>
      </c>
      <c r="D27" s="147" t="s">
        <v>78</v>
      </c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9" t="s">
        <v>27</v>
      </c>
      <c r="V27" s="154" t="s">
        <v>74</v>
      </c>
      <c r="W27" s="158"/>
      <c r="X27" s="148"/>
      <c r="Y27" s="151"/>
      <c r="Z27" s="151"/>
      <c r="AA27" s="156" t="s">
        <v>78</v>
      </c>
      <c r="AB27" s="152"/>
      <c r="AC27" s="152"/>
      <c r="AD27" s="23"/>
      <c r="AE27" s="23"/>
      <c r="AF27" s="4"/>
      <c r="AG27" s="4"/>
    </row>
    <row r="28" spans="1:33" s="21" customFormat="1">
      <c r="A28" s="25"/>
      <c r="B28" s="24">
        <f t="shared" si="0"/>
        <v>17</v>
      </c>
      <c r="C28" s="15"/>
      <c r="D28" s="5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59"/>
      <c r="V28" s="34"/>
      <c r="W28" s="68"/>
      <c r="X28" s="26"/>
      <c r="Y28" s="35"/>
      <c r="Z28" s="35"/>
      <c r="AA28" s="43"/>
      <c r="AB28" s="40"/>
      <c r="AC28" s="40"/>
      <c r="AD28" s="23"/>
      <c r="AE28" s="23"/>
      <c r="AF28" s="4"/>
      <c r="AG28" s="4"/>
    </row>
    <row r="29" spans="1:33" s="21" customFormat="1">
      <c r="A29" s="25"/>
      <c r="B29" s="24">
        <f t="shared" si="0"/>
        <v>18</v>
      </c>
      <c r="C29" s="15"/>
      <c r="D29" s="5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59"/>
      <c r="V29" s="34"/>
      <c r="W29" s="68"/>
      <c r="X29" s="26"/>
      <c r="Y29" s="35"/>
      <c r="Z29" s="35"/>
      <c r="AA29" s="43"/>
      <c r="AB29" s="40"/>
      <c r="AC29" s="40"/>
      <c r="AD29" s="23"/>
      <c r="AE29" s="23"/>
      <c r="AF29" s="4"/>
      <c r="AG29" s="4"/>
    </row>
    <row r="30" spans="1:33" s="21" customFormat="1">
      <c r="A30" s="25"/>
      <c r="B30" s="24">
        <f t="shared" si="0"/>
        <v>19</v>
      </c>
      <c r="C30" s="15"/>
      <c r="D30" s="5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59"/>
      <c r="V30" s="34"/>
      <c r="W30" s="68"/>
      <c r="X30" s="26"/>
      <c r="Y30" s="35"/>
      <c r="Z30" s="35"/>
      <c r="AA30" s="43"/>
      <c r="AB30" s="40"/>
      <c r="AC30" s="40"/>
      <c r="AD30" s="23"/>
      <c r="AE30" s="23"/>
      <c r="AF30" s="4"/>
      <c r="AG30" s="4"/>
    </row>
    <row r="31" spans="1:33" s="21" customFormat="1">
      <c r="A31" s="25"/>
      <c r="B31" s="24">
        <f t="shared" si="0"/>
        <v>20</v>
      </c>
      <c r="C31" s="15"/>
      <c r="D31" s="5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59"/>
      <c r="V31" s="34"/>
      <c r="W31" s="68"/>
      <c r="X31" s="26"/>
      <c r="Y31" s="35"/>
      <c r="Z31" s="35"/>
      <c r="AA31" s="43"/>
      <c r="AB31" s="40"/>
      <c r="AC31" s="40"/>
      <c r="AD31" s="23"/>
      <c r="AE31" s="23"/>
      <c r="AF31" s="4"/>
      <c r="AG31" s="4"/>
    </row>
    <row r="32" spans="1:33" s="21" customFormat="1">
      <c r="A32" s="25"/>
      <c r="B32" s="24">
        <f t="shared" si="0"/>
        <v>21</v>
      </c>
      <c r="C32" s="15"/>
      <c r="D32" s="5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59"/>
      <c r="V32" s="34"/>
      <c r="W32" s="68"/>
      <c r="X32" s="26"/>
      <c r="Y32" s="35"/>
      <c r="Z32" s="35"/>
      <c r="AA32" s="43"/>
      <c r="AB32" s="40"/>
      <c r="AC32" s="40"/>
      <c r="AD32" s="23"/>
      <c r="AE32" s="23"/>
      <c r="AF32" s="4"/>
      <c r="AG32" s="4"/>
    </row>
    <row r="33" spans="1:33" s="21" customFormat="1">
      <c r="A33" s="25"/>
      <c r="B33" s="24">
        <f t="shared" si="0"/>
        <v>22</v>
      </c>
      <c r="C33" s="15"/>
      <c r="D33" s="5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59"/>
      <c r="V33" s="34"/>
      <c r="W33" s="68"/>
      <c r="X33" s="26"/>
      <c r="Y33" s="35"/>
      <c r="Z33" s="35"/>
      <c r="AA33" s="43"/>
      <c r="AB33" s="40"/>
      <c r="AC33" s="40"/>
      <c r="AD33" s="23"/>
      <c r="AE33" s="23"/>
      <c r="AF33" s="4"/>
      <c r="AG33" s="4"/>
    </row>
    <row r="34" spans="1:33" s="21" customFormat="1">
      <c r="A34" s="25"/>
      <c r="B34" s="24">
        <f t="shared" si="0"/>
        <v>23</v>
      </c>
      <c r="C34" s="15"/>
      <c r="D34" s="5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59"/>
      <c r="V34" s="34"/>
      <c r="W34" s="68"/>
      <c r="X34" s="26"/>
      <c r="Y34" s="35"/>
      <c r="Z34" s="35"/>
      <c r="AA34" s="43"/>
      <c r="AB34" s="40"/>
      <c r="AC34" s="40"/>
      <c r="AD34" s="23"/>
      <c r="AE34" s="23"/>
      <c r="AF34" s="4"/>
      <c r="AG34" s="4"/>
    </row>
    <row r="35" spans="1:33" s="21" customFormat="1">
      <c r="A35" s="25"/>
      <c r="B35" s="24">
        <f t="shared" si="0"/>
        <v>24</v>
      </c>
      <c r="C35" s="15"/>
      <c r="D35" s="5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59"/>
      <c r="V35" s="34"/>
      <c r="W35" s="68"/>
      <c r="X35" s="26"/>
      <c r="Y35" s="35"/>
      <c r="Z35" s="35"/>
      <c r="AA35" s="43"/>
      <c r="AB35" s="40"/>
      <c r="AC35" s="40"/>
      <c r="AD35" s="23"/>
      <c r="AE35" s="23"/>
      <c r="AF35" s="4"/>
      <c r="AG35" s="4"/>
    </row>
    <row r="36" spans="1:33" s="21" customFormat="1">
      <c r="A36" s="25"/>
      <c r="B36" s="24">
        <f t="shared" si="0"/>
        <v>25</v>
      </c>
      <c r="C36" s="15"/>
      <c r="D36" s="5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59"/>
      <c r="V36" s="34"/>
      <c r="W36" s="68"/>
      <c r="X36" s="26"/>
      <c r="Y36" s="35"/>
      <c r="Z36" s="35"/>
      <c r="AA36" s="43"/>
      <c r="AB36" s="40"/>
      <c r="AC36" s="40"/>
      <c r="AD36" s="23"/>
      <c r="AE36" s="23"/>
      <c r="AF36" s="4"/>
      <c r="AG36" s="4"/>
    </row>
    <row r="37" spans="1:33" s="21" customFormat="1">
      <c r="A37" s="25"/>
      <c r="B37" s="24">
        <f t="shared" si="0"/>
        <v>26</v>
      </c>
      <c r="C37" s="15"/>
      <c r="D37" s="5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59"/>
      <c r="V37" s="34"/>
      <c r="W37" s="68"/>
      <c r="X37" s="26"/>
      <c r="Y37" s="35"/>
      <c r="Z37" s="35"/>
      <c r="AA37" s="43"/>
      <c r="AB37" s="40"/>
      <c r="AC37" s="40"/>
      <c r="AD37" s="23"/>
      <c r="AE37" s="23"/>
      <c r="AF37" s="4"/>
      <c r="AG37" s="4"/>
    </row>
    <row r="38" spans="1:33" s="21" customFormat="1">
      <c r="A38" s="25"/>
      <c r="B38" s="24">
        <f t="shared" si="0"/>
        <v>27</v>
      </c>
      <c r="C38" s="15"/>
      <c r="D38" s="5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59"/>
      <c r="V38" s="34"/>
      <c r="W38" s="68"/>
      <c r="X38" s="26"/>
      <c r="Y38" s="35"/>
      <c r="Z38" s="35"/>
      <c r="AA38" s="43"/>
      <c r="AB38" s="40"/>
      <c r="AC38" s="40"/>
      <c r="AD38" s="23"/>
      <c r="AE38" s="23"/>
      <c r="AF38" s="4"/>
      <c r="AG38" s="4"/>
    </row>
    <row r="39" spans="1:33" s="21" customFormat="1">
      <c r="A39" s="25"/>
      <c r="B39" s="24">
        <f t="shared" si="0"/>
        <v>28</v>
      </c>
      <c r="C39" s="15"/>
      <c r="D39" s="5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59"/>
      <c r="V39" s="34"/>
      <c r="W39" s="68"/>
      <c r="X39" s="26"/>
      <c r="Y39" s="35"/>
      <c r="Z39" s="35"/>
      <c r="AA39" s="43"/>
      <c r="AB39" s="40"/>
      <c r="AC39" s="40"/>
      <c r="AD39" s="23"/>
      <c r="AE39" s="23"/>
      <c r="AF39" s="4"/>
      <c r="AG39" s="4"/>
    </row>
    <row r="40" spans="1:33" s="21" customFormat="1">
      <c r="A40" s="25"/>
      <c r="B40" s="24">
        <f t="shared" si="0"/>
        <v>29</v>
      </c>
      <c r="C40" s="15"/>
      <c r="D40" s="5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59"/>
      <c r="V40" s="34"/>
      <c r="W40" s="68"/>
      <c r="X40" s="26"/>
      <c r="Y40" s="35"/>
      <c r="Z40" s="35"/>
      <c r="AA40" s="43"/>
      <c r="AB40" s="40"/>
      <c r="AC40" s="40"/>
      <c r="AD40" s="23"/>
      <c r="AE40" s="23"/>
      <c r="AF40" s="4"/>
      <c r="AG40" s="4"/>
    </row>
    <row r="41" spans="1:33" s="21" customFormat="1">
      <c r="A41" s="25"/>
      <c r="B41" s="24">
        <f t="shared" si="0"/>
        <v>30</v>
      </c>
      <c r="C41" s="15"/>
      <c r="D41" s="5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59"/>
      <c r="V41" s="34"/>
      <c r="W41" s="68"/>
      <c r="X41" s="26"/>
      <c r="Y41" s="35"/>
      <c r="Z41" s="35"/>
      <c r="AA41" s="43"/>
      <c r="AB41" s="40"/>
      <c r="AC41" s="40"/>
      <c r="AD41" s="23"/>
      <c r="AE41" s="23"/>
      <c r="AF41" s="4"/>
      <c r="AG41" s="4"/>
    </row>
    <row r="42" spans="1:33" s="21" customFormat="1">
      <c r="A42" s="25"/>
      <c r="B42" s="24">
        <f t="shared" si="0"/>
        <v>31</v>
      </c>
      <c r="C42" s="15"/>
      <c r="D42" s="5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59"/>
      <c r="V42" s="34"/>
      <c r="W42" s="68"/>
      <c r="X42" s="26"/>
      <c r="Y42" s="35"/>
      <c r="Z42" s="35"/>
      <c r="AA42" s="43"/>
      <c r="AB42" s="40"/>
      <c r="AC42" s="40"/>
      <c r="AD42" s="23"/>
      <c r="AE42" s="23"/>
      <c r="AF42" s="4"/>
      <c r="AG42" s="4"/>
    </row>
    <row r="43" spans="1:33" s="21" customFormat="1">
      <c r="A43" s="25"/>
      <c r="B43" s="24">
        <f t="shared" si="0"/>
        <v>32</v>
      </c>
      <c r="C43" s="15"/>
      <c r="D43" s="5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59"/>
      <c r="V43" s="34"/>
      <c r="W43" s="68"/>
      <c r="X43" s="26"/>
      <c r="Y43" s="35"/>
      <c r="Z43" s="35"/>
      <c r="AA43" s="43"/>
      <c r="AB43" s="40"/>
      <c r="AC43" s="40"/>
      <c r="AD43" s="23"/>
      <c r="AE43" s="23"/>
      <c r="AF43" s="4"/>
      <c r="AG43" s="4"/>
    </row>
    <row r="44" spans="1:33" s="21" customFormat="1">
      <c r="A44" s="25"/>
      <c r="B44" s="24">
        <f t="shared" si="0"/>
        <v>33</v>
      </c>
      <c r="C44" s="15"/>
      <c r="D44" s="5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59"/>
      <c r="V44" s="34"/>
      <c r="W44" s="68"/>
      <c r="X44" s="26"/>
      <c r="Y44" s="35"/>
      <c r="Z44" s="35"/>
      <c r="AA44" s="43"/>
      <c r="AB44" s="40"/>
      <c r="AC44" s="40"/>
      <c r="AD44" s="23"/>
      <c r="AE44" s="23"/>
      <c r="AF44" s="4"/>
      <c r="AG44" s="4"/>
    </row>
    <row r="45" spans="1:33" s="21" customFormat="1">
      <c r="A45" s="25"/>
      <c r="B45" s="24">
        <f t="shared" si="0"/>
        <v>34</v>
      </c>
      <c r="C45" s="15"/>
      <c r="D45" s="5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59"/>
      <c r="V45" s="34"/>
      <c r="W45" s="70"/>
      <c r="X45" s="26"/>
      <c r="Y45" s="35"/>
      <c r="Z45" s="35"/>
      <c r="AA45" s="43"/>
      <c r="AB45" s="40"/>
      <c r="AC45" s="40"/>
      <c r="AD45" s="23"/>
      <c r="AE45" s="23"/>
      <c r="AF45" s="4"/>
      <c r="AG45" s="4"/>
    </row>
    <row r="46" spans="1:33" s="21" customFormat="1">
      <c r="A46" s="25"/>
      <c r="B46" s="24">
        <f t="shared" si="0"/>
        <v>35</v>
      </c>
      <c r="C46" s="15"/>
      <c r="D46" s="5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59"/>
      <c r="V46" s="34"/>
      <c r="W46" s="70"/>
      <c r="X46" s="26"/>
      <c r="Y46" s="35"/>
      <c r="Z46" s="35"/>
      <c r="AA46" s="43"/>
      <c r="AB46" s="40"/>
      <c r="AC46" s="40"/>
      <c r="AD46" s="23"/>
      <c r="AE46" s="23"/>
      <c r="AF46" s="4"/>
      <c r="AG46" s="4"/>
    </row>
    <row r="47" spans="1:33" s="21" customFormat="1">
      <c r="A47" s="25"/>
      <c r="B47" s="24">
        <f t="shared" si="0"/>
        <v>36</v>
      </c>
      <c r="C47" s="15"/>
      <c r="D47" s="5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59"/>
      <c r="V47" s="34"/>
      <c r="W47" s="70"/>
      <c r="X47" s="26"/>
      <c r="Y47" s="35"/>
      <c r="Z47" s="35"/>
      <c r="AA47" s="43"/>
      <c r="AB47" s="40"/>
      <c r="AC47" s="40"/>
      <c r="AD47" s="23"/>
      <c r="AE47" s="23"/>
      <c r="AF47" s="4"/>
      <c r="AG47" s="4"/>
    </row>
    <row r="48" spans="1:33" s="21" customFormat="1">
      <c r="A48" s="25"/>
      <c r="B48" s="24">
        <f t="shared" si="0"/>
        <v>37</v>
      </c>
      <c r="C48" s="15"/>
      <c r="D48" s="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59"/>
      <c r="V48" s="34"/>
      <c r="W48" s="70"/>
      <c r="X48" s="26"/>
      <c r="Y48" s="35"/>
      <c r="Z48" s="35"/>
      <c r="AA48" s="43"/>
      <c r="AB48" s="40"/>
      <c r="AC48" s="40"/>
      <c r="AD48" s="23"/>
      <c r="AE48" s="23"/>
      <c r="AF48" s="4"/>
      <c r="AG48" s="4"/>
    </row>
    <row r="49" spans="1:33" s="21" customFormat="1">
      <c r="A49" s="25"/>
      <c r="B49" s="24">
        <f t="shared" si="0"/>
        <v>38</v>
      </c>
      <c r="C49" s="15"/>
      <c r="D49" s="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59"/>
      <c r="V49" s="34"/>
      <c r="W49" s="70"/>
      <c r="X49" s="26"/>
      <c r="Y49" s="35"/>
      <c r="Z49" s="35"/>
      <c r="AA49" s="43"/>
      <c r="AB49" s="40"/>
      <c r="AC49" s="40"/>
      <c r="AD49" s="23"/>
      <c r="AE49" s="23"/>
      <c r="AF49" s="4"/>
      <c r="AG49" s="4"/>
    </row>
    <row r="50" spans="1:33" s="21" customFormat="1">
      <c r="A50" s="25"/>
      <c r="B50" s="24">
        <f t="shared" si="0"/>
        <v>39</v>
      </c>
      <c r="C50" s="15"/>
      <c r="D50" s="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59"/>
      <c r="V50" s="26"/>
      <c r="W50" s="68"/>
      <c r="X50" s="26"/>
      <c r="Y50" s="35"/>
      <c r="Z50" s="35"/>
      <c r="AA50" s="43"/>
      <c r="AB50" s="40"/>
      <c r="AC50" s="40"/>
      <c r="AD50" s="23"/>
      <c r="AE50" s="23"/>
      <c r="AF50" s="4"/>
      <c r="AG50" s="4"/>
    </row>
    <row r="51" spans="1:33" s="21" customFormat="1">
      <c r="A51" s="25"/>
      <c r="B51" s="24">
        <f t="shared" si="0"/>
        <v>40</v>
      </c>
      <c r="C51" s="71"/>
      <c r="D51" s="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59"/>
      <c r="V51" s="26"/>
      <c r="W51" s="26"/>
      <c r="X51" s="26"/>
      <c r="Y51" s="35"/>
      <c r="Z51" s="35"/>
      <c r="AA51" s="43"/>
      <c r="AB51" s="40"/>
      <c r="AC51" s="40"/>
      <c r="AD51" s="23"/>
      <c r="AE51" s="23"/>
      <c r="AF51" s="4"/>
      <c r="AG51" s="4"/>
    </row>
    <row r="52" spans="1:33" s="21" customFormat="1">
      <c r="A52" s="25"/>
      <c r="B52" s="24">
        <f t="shared" si="0"/>
        <v>41</v>
      </c>
      <c r="C52" s="71"/>
      <c r="D52" s="5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59"/>
      <c r="V52" s="72"/>
      <c r="W52" s="26"/>
      <c r="X52" s="26"/>
      <c r="Y52" s="35"/>
      <c r="Z52" s="35"/>
      <c r="AA52" s="43"/>
      <c r="AB52" s="40"/>
      <c r="AC52" s="40"/>
      <c r="AD52" s="23"/>
      <c r="AE52" s="23"/>
      <c r="AF52" s="4"/>
      <c r="AG52" s="4"/>
    </row>
    <row r="53" spans="1:33" s="21" customFormat="1">
      <c r="A53" s="25"/>
      <c r="B53" s="24">
        <f t="shared" si="0"/>
        <v>42</v>
      </c>
      <c r="C53" s="71"/>
      <c r="D53" s="5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59"/>
      <c r="V53" s="26"/>
      <c r="W53" s="26"/>
      <c r="X53" s="26"/>
      <c r="Y53" s="35"/>
      <c r="Z53" s="35"/>
      <c r="AA53" s="43"/>
      <c r="AB53" s="40"/>
      <c r="AC53" s="40"/>
      <c r="AD53" s="23"/>
      <c r="AE53" s="23"/>
      <c r="AF53" s="4"/>
      <c r="AG53" s="4"/>
    </row>
    <row r="54" spans="1:33" s="21" customFormat="1">
      <c r="A54" s="25"/>
      <c r="B54" s="24">
        <f t="shared" si="0"/>
        <v>43</v>
      </c>
      <c r="C54" s="71"/>
      <c r="D54" s="5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59"/>
      <c r="V54" s="72"/>
      <c r="W54" s="26"/>
      <c r="X54" s="26"/>
      <c r="Y54" s="35"/>
      <c r="Z54" s="35"/>
      <c r="AA54" s="43"/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0"/>
        <v>44</v>
      </c>
      <c r="C55" s="34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68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0"/>
        <v>45</v>
      </c>
      <c r="C56" s="34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72"/>
      <c r="W56" s="68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34"/>
      <c r="W57" s="70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15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68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26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72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26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71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26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34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72"/>
      <c r="W63" s="68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34"/>
      <c r="W66" s="70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15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68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26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72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26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71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26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34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72"/>
      <c r="W72" s="68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26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71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26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34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68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5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26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72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1" customFormat="1">
      <c r="A105" s="25"/>
      <c r="B105" s="24">
        <f t="shared" si="1"/>
        <v>94</v>
      </c>
      <c r="C105" s="15"/>
      <c r="D105" s="5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59"/>
      <c r="V105" s="34"/>
      <c r="W105" s="68"/>
      <c r="X105" s="26"/>
      <c r="Y105" s="35"/>
      <c r="Z105" s="35"/>
      <c r="AA105" s="43"/>
      <c r="AB105" s="40"/>
      <c r="AC105" s="40"/>
      <c r="AD105" s="23"/>
      <c r="AE105" s="23"/>
      <c r="AF105" s="4"/>
      <c r="AG105" s="4"/>
    </row>
    <row r="106" spans="1:33" s="23" customFormat="1">
      <c r="A106" s="22"/>
      <c r="B106" s="24">
        <f t="shared" si="1"/>
        <v>95</v>
      </c>
      <c r="C106" s="15"/>
      <c r="D106" s="72"/>
      <c r="E106" s="73"/>
      <c r="F106" s="73"/>
      <c r="G106" s="73"/>
      <c r="H106" s="73"/>
      <c r="I106" s="73"/>
      <c r="J106" s="73"/>
      <c r="K106" s="74"/>
      <c r="L106" s="73"/>
      <c r="M106" s="73"/>
      <c r="N106" s="73"/>
      <c r="O106" s="26"/>
      <c r="P106" s="73"/>
      <c r="Q106" s="73"/>
      <c r="R106" s="73"/>
      <c r="S106" s="72"/>
      <c r="T106" s="73"/>
      <c r="U106" s="73"/>
      <c r="V106" s="73"/>
      <c r="W106" s="26"/>
      <c r="X106" s="26"/>
      <c r="Y106" s="26"/>
      <c r="Z106" s="75"/>
      <c r="AA106" s="76"/>
      <c r="AB106" s="77"/>
      <c r="AC106" s="77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5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59"/>
      <c r="V107" s="68"/>
      <c r="W107" s="68"/>
      <c r="X107" s="26"/>
      <c r="Y107" s="35"/>
      <c r="Z107" s="35"/>
      <c r="AA107" s="43"/>
      <c r="AB107" s="40"/>
      <c r="AC107" s="40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s="27" customFormat="1">
      <c r="A114" s="25"/>
      <c r="B114" s="24">
        <f t="shared" si="1"/>
        <v>103</v>
      </c>
      <c r="C114" s="15"/>
      <c r="D114" s="72"/>
      <c r="E114" s="73"/>
      <c r="F114" s="73"/>
      <c r="G114" s="73"/>
      <c r="H114" s="73"/>
      <c r="I114" s="73"/>
      <c r="J114" s="73"/>
      <c r="K114" s="74"/>
      <c r="L114" s="73"/>
      <c r="M114" s="73"/>
      <c r="N114" s="73"/>
      <c r="O114" s="26"/>
      <c r="P114" s="73"/>
      <c r="Q114" s="73"/>
      <c r="R114" s="73"/>
      <c r="S114" s="72"/>
      <c r="T114" s="73"/>
      <c r="U114" s="73"/>
      <c r="V114" s="73"/>
      <c r="W114" s="26"/>
      <c r="X114" s="26"/>
      <c r="Y114" s="26"/>
      <c r="Z114" s="75"/>
      <c r="AA114" s="76"/>
      <c r="AB114" s="77"/>
      <c r="AC114" s="77"/>
      <c r="AD114" s="23"/>
      <c r="AE114" s="23"/>
      <c r="AF114" s="4"/>
      <c r="AG114" s="4"/>
    </row>
    <row r="115" spans="1:33" ht="12.6" thickBot="1">
      <c r="A115" s="78"/>
      <c r="B115" s="79">
        <f t="shared" si="1"/>
        <v>104</v>
      </c>
      <c r="C115" s="80"/>
      <c r="D115" s="81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3"/>
      <c r="V115" s="83"/>
      <c r="W115" s="79"/>
      <c r="X115" s="82"/>
      <c r="Y115" s="84"/>
      <c r="Z115" s="84"/>
      <c r="AA115" s="85"/>
      <c r="AB115" s="86"/>
      <c r="AC115" s="86"/>
      <c r="AD115" s="23"/>
      <c r="AE115" s="23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11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8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29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0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31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  <c r="P192" s="3"/>
      <c r="Q192" s="3"/>
      <c r="R192" s="3"/>
      <c r="S192" s="88"/>
      <c r="T192" s="3"/>
      <c r="U192" s="3"/>
      <c r="V192" s="3"/>
      <c r="W192" s="6"/>
      <c r="X192" s="6"/>
      <c r="Y192" s="6"/>
      <c r="Z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  <row r="194" spans="1:15">
      <c r="A194" s="3"/>
      <c r="B194" s="3"/>
      <c r="C194" s="2"/>
      <c r="D194" s="88"/>
      <c r="E194" s="3"/>
      <c r="F194" s="3"/>
      <c r="G194" s="3"/>
      <c r="H194" s="3"/>
      <c r="I194" s="3"/>
      <c r="J194" s="3"/>
      <c r="K194" s="2"/>
      <c r="L194" s="3"/>
      <c r="M194" s="3"/>
      <c r="N194" s="3"/>
      <c r="O194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28:AC115 B27 AB27:AC27 B16:B25 B13 AB16:AC25 AB13:AC13">
    <cfRule type="expression" dxfId="357" priority="44">
      <formula>NOT(ISBLANK(INDIRECT("RC28",FALSE)))</formula>
    </cfRule>
  </conditionalFormatting>
  <conditionalFormatting sqref="C28:AC115 AB27:AC27 AB16:AC25 AB13:AC13">
    <cfRule type="expression" dxfId="356" priority="43" stopIfTrue="1">
      <formula>AND(ISBLANK(INDIRECT("RC2",FALSE)),NOT(ISBLANK(INDIRECT("RC3",FALSE))))</formula>
    </cfRule>
  </conditionalFormatting>
  <conditionalFormatting sqref="B26 AB26:AC26">
    <cfRule type="expression" dxfId="355" priority="42">
      <formula>NOT(ISBLANK(INDIRECT("RC28",FALSE)))</formula>
    </cfRule>
  </conditionalFormatting>
  <conditionalFormatting sqref="AB26:AC26">
    <cfRule type="expression" dxfId="354" priority="41" stopIfTrue="1">
      <formula>AND(ISBLANK(INDIRECT("RC2",FALSE)),NOT(ISBLANK(INDIRECT("RC3",FALSE))))</formula>
    </cfRule>
  </conditionalFormatting>
  <conditionalFormatting sqref="C13:U13 W13:AA13">
    <cfRule type="expression" dxfId="353" priority="39">
      <formula>NOT(ISBLANK(INDIRECT("RC28",FALSE)))</formula>
    </cfRule>
  </conditionalFormatting>
  <conditionalFormatting sqref="C13:U13 W13:AA13">
    <cfRule type="expression" dxfId="352" priority="40" stopIfTrue="1">
      <formula>AND(ISBLANK(INDIRECT("RC2",FALSE)),NOT(ISBLANK(INDIRECT("RC3",FALSE))))</formula>
    </cfRule>
  </conditionalFormatting>
  <conditionalFormatting sqref="C16:T16 V16:AA16 C17:AA21">
    <cfRule type="expression" dxfId="351" priority="25">
      <formula>NOT(ISBLANK(INDIRECT("RC28",FALSE)))</formula>
    </cfRule>
  </conditionalFormatting>
  <conditionalFormatting sqref="C16:T16 V16:AA16 C17:AA21">
    <cfRule type="expression" dxfId="350" priority="26" stopIfTrue="1">
      <formula>AND(ISBLANK(INDIRECT("RC2",FALSE)),NOT(ISBLANK(INDIRECT("RC3",FALSE))))</formula>
    </cfRule>
  </conditionalFormatting>
  <conditionalFormatting sqref="E19:AA19 C20:AA20 V18">
    <cfRule type="expression" dxfId="349" priority="27">
      <formula>NOT(ISBLANK(INDIRECT("RC28",FALSE)))</formula>
    </cfRule>
  </conditionalFormatting>
  <conditionalFormatting sqref="E19:AA19 C20:AA20 V18">
    <cfRule type="expression" dxfId="348" priority="28" stopIfTrue="1">
      <formula>AND(ISBLANK(INDIRECT("RC2",FALSE)),NOT(ISBLANK(INDIRECT("RC3",FALSE))))</formula>
    </cfRule>
  </conditionalFormatting>
  <conditionalFormatting sqref="C19:D19">
    <cfRule type="expression" dxfId="347" priority="29" stopIfTrue="1">
      <formula>AND(ISBLANK(INDIRECT("RC2",FALSE)),NOT(ISBLANK(INDIRECT("RC3",FALSE))))</formula>
    </cfRule>
  </conditionalFormatting>
  <conditionalFormatting sqref="C19:D19">
    <cfRule type="expression" dxfId="346" priority="30">
      <formula>NOT(ISBLANK(INDIRECT("RC28",FALSE)))</formula>
    </cfRule>
  </conditionalFormatting>
  <conditionalFormatting sqref="C20:D20">
    <cfRule type="expression" dxfId="345" priority="31" stopIfTrue="1">
      <formula>AND(ISBLANK(INDIRECT("RC2",FALSE)),NOT(ISBLANK(INDIRECT("RC3",FALSE))))</formula>
    </cfRule>
  </conditionalFormatting>
  <conditionalFormatting sqref="C20:D20">
    <cfRule type="expression" dxfId="344" priority="32">
      <formula>NOT(ISBLANK(INDIRECT("RC28",FALSE)))</formula>
    </cfRule>
  </conditionalFormatting>
  <conditionalFormatting sqref="E17:AA17 C18:U18 W18:AA18 V16 V18:V19">
    <cfRule type="expression" dxfId="343" priority="33">
      <formula>NOT(ISBLANK(INDIRECT("RC28",FALSE)))</formula>
    </cfRule>
  </conditionalFormatting>
  <conditionalFormatting sqref="E17:AA17 C18:AA18 V16 V19">
    <cfRule type="expression" dxfId="342" priority="34" stopIfTrue="1">
      <formula>AND(ISBLANK(INDIRECT("RC2",FALSE)),NOT(ISBLANK(INDIRECT("RC3",FALSE))))</formula>
    </cfRule>
  </conditionalFormatting>
  <conditionalFormatting sqref="C17:D17">
    <cfRule type="expression" dxfId="341" priority="35" stopIfTrue="1">
      <formula>AND(ISBLANK(INDIRECT("RC2",FALSE)),NOT(ISBLANK(INDIRECT("RC3",FALSE))))</formula>
    </cfRule>
  </conditionalFormatting>
  <conditionalFormatting sqref="C17:D17">
    <cfRule type="expression" dxfId="340" priority="36">
      <formula>NOT(ISBLANK(INDIRECT("RC28",FALSE)))</formula>
    </cfRule>
  </conditionalFormatting>
  <conditionalFormatting sqref="C18:D18">
    <cfRule type="expression" dxfId="339" priority="37" stopIfTrue="1">
      <formula>AND(ISBLANK(INDIRECT("RC2",FALSE)),NOT(ISBLANK(INDIRECT("RC3",FALSE))))</formula>
    </cfRule>
  </conditionalFormatting>
  <conditionalFormatting sqref="C18:D18">
    <cfRule type="expression" dxfId="338" priority="38">
      <formula>NOT(ISBLANK(INDIRECT("RC28",FALSE)))</formula>
    </cfRule>
  </conditionalFormatting>
  <conditionalFormatting sqref="B15:T15 B12:B13 AB12:AC13 V15:AC15">
    <cfRule type="expression" dxfId="337" priority="24">
      <formula>NOT(ISBLANK(INDIRECT("RC28",FALSE)))</formula>
    </cfRule>
  </conditionalFormatting>
  <conditionalFormatting sqref="C15:T15 AB12:AC13 V15:AC15">
    <cfRule type="expression" dxfId="336" priority="23" stopIfTrue="1">
      <formula>AND(ISBLANK(INDIRECT("RC2",FALSE)),NOT(ISBLANK(INDIRECT("RC3",FALSE))))</formula>
    </cfRule>
  </conditionalFormatting>
  <conditionalFormatting sqref="C12:AA13 C15:T15 V15:AA15">
    <cfRule type="expression" dxfId="335" priority="21">
      <formula>NOT(ISBLANK(INDIRECT("RC28",FALSE)))</formula>
    </cfRule>
  </conditionalFormatting>
  <conditionalFormatting sqref="C12:AA13 C15:T15 V15:AA15">
    <cfRule type="expression" dxfId="334" priority="22" stopIfTrue="1">
      <formula>AND(ISBLANK(INDIRECT("RC2",FALSE)),NOT(ISBLANK(INDIRECT("RC3",FALSE))))</formula>
    </cfRule>
  </conditionalFormatting>
  <conditionalFormatting sqref="AA15">
    <cfRule type="expression" dxfId="333" priority="20">
      <formula>NOT(ISBLANK(INDIRECT("RC28",FALSE)))</formula>
    </cfRule>
  </conditionalFormatting>
  <conditionalFormatting sqref="AA15">
    <cfRule type="expression" dxfId="332" priority="19" stopIfTrue="1">
      <formula>AND(ISBLANK(INDIRECT("RC2",FALSE)),NOT(ISBLANK(INDIRECT("RC3",FALSE))))</formula>
    </cfRule>
  </conditionalFormatting>
  <conditionalFormatting sqref="V13">
    <cfRule type="expression" dxfId="331" priority="18">
      <formula>NOT(ISBLANK(INDIRECT("RC28",FALSE)))</formula>
    </cfRule>
  </conditionalFormatting>
  <conditionalFormatting sqref="V13">
    <cfRule type="expression" dxfId="330" priority="17" stopIfTrue="1">
      <formula>AND(ISBLANK(INDIRECT("RC2",FALSE)),NOT(ISBLANK(INDIRECT("RC3",FALSE))))</formula>
    </cfRule>
  </conditionalFormatting>
  <conditionalFormatting sqref="U15">
    <cfRule type="expression" dxfId="329" priority="15">
      <formula>NOT(ISBLANK(INDIRECT("RC28",FALSE)))</formula>
    </cfRule>
  </conditionalFormatting>
  <conditionalFormatting sqref="U15">
    <cfRule type="expression" dxfId="328" priority="16" stopIfTrue="1">
      <formula>AND(ISBLANK(INDIRECT("RC2",FALSE)),NOT(ISBLANK(INDIRECT("RC3",FALSE))))</formula>
    </cfRule>
  </conditionalFormatting>
  <conditionalFormatting sqref="U16">
    <cfRule type="expression" dxfId="327" priority="13">
      <formula>NOT(ISBLANK(INDIRECT("RC28",FALSE)))</formula>
    </cfRule>
  </conditionalFormatting>
  <conditionalFormatting sqref="U16">
    <cfRule type="expression" dxfId="326" priority="14" stopIfTrue="1">
      <formula>AND(ISBLANK(INDIRECT("RC2",FALSE)),NOT(ISBLANK(INDIRECT("RC3",FALSE))))</formula>
    </cfRule>
  </conditionalFormatting>
  <conditionalFormatting sqref="V20">
    <cfRule type="expression" dxfId="325" priority="11">
      <formula>NOT(ISBLANK(INDIRECT("RC28",FALSE)))</formula>
    </cfRule>
  </conditionalFormatting>
  <conditionalFormatting sqref="V20">
    <cfRule type="expression" dxfId="324" priority="12" stopIfTrue="1">
      <formula>AND(ISBLANK(INDIRECT("RC2",FALSE)),NOT(ISBLANK(INDIRECT("RC3",FALSE))))</formula>
    </cfRule>
  </conditionalFormatting>
  <conditionalFormatting sqref="C22:AA27">
    <cfRule type="expression" dxfId="323" priority="10">
      <formula>NOT(ISBLANK(INDIRECT("RC28",FALSE)))</formula>
    </cfRule>
  </conditionalFormatting>
  <conditionalFormatting sqref="C22:AA27">
    <cfRule type="expression" dxfId="322" priority="9" stopIfTrue="1">
      <formula>AND(ISBLANK(INDIRECT("RC2",FALSE)),NOT(ISBLANK(INDIRECT("RC3",FALSE))))</formula>
    </cfRule>
  </conditionalFormatting>
  <conditionalFormatting sqref="B14:T14 V14:AC14">
    <cfRule type="expression" dxfId="321" priority="8">
      <formula>NOT(ISBLANK(INDIRECT("RC28",FALSE)))</formula>
    </cfRule>
  </conditionalFormatting>
  <conditionalFormatting sqref="C14:T14 V14:AC14">
    <cfRule type="expression" dxfId="320" priority="7" stopIfTrue="1">
      <formula>AND(ISBLANK(INDIRECT("RC2",FALSE)),NOT(ISBLANK(INDIRECT("RC3",FALSE))))</formula>
    </cfRule>
  </conditionalFormatting>
  <conditionalFormatting sqref="C14:T14 V14:AA14">
    <cfRule type="expression" dxfId="319" priority="5">
      <formula>NOT(ISBLANK(INDIRECT("RC28",FALSE)))</formula>
    </cfRule>
  </conditionalFormatting>
  <conditionalFormatting sqref="C14:T14 V14:AA14">
    <cfRule type="expression" dxfId="318" priority="6" stopIfTrue="1">
      <formula>AND(ISBLANK(INDIRECT("RC2",FALSE)),NOT(ISBLANK(INDIRECT("RC3",FALSE))))</formula>
    </cfRule>
  </conditionalFormatting>
  <conditionalFormatting sqref="AA14">
    <cfRule type="expression" dxfId="317" priority="4">
      <formula>NOT(ISBLANK(INDIRECT("RC28",FALSE)))</formula>
    </cfRule>
  </conditionalFormatting>
  <conditionalFormatting sqref="AA14">
    <cfRule type="expression" dxfId="316" priority="3" stopIfTrue="1">
      <formula>AND(ISBLANK(INDIRECT("RC2",FALSE)),NOT(ISBLANK(INDIRECT("RC3",FALSE))))</formula>
    </cfRule>
  </conditionalFormatting>
  <conditionalFormatting sqref="U14">
    <cfRule type="expression" dxfId="315" priority="1">
      <formula>NOT(ISBLANK(INDIRECT("RC28",FALSE)))</formula>
    </cfRule>
  </conditionalFormatting>
  <conditionalFormatting sqref="U14">
    <cfRule type="expression" dxfId="314" priority="2" stopIfTrue="1">
      <formula>AND(ISBLANK(INDIRECT("RC2",FALSE)),NOT(ISBLANK(INDIRECT("RC3",FALSE))))</formula>
    </cfRule>
  </conditionalFormatting>
  <dataValidations count="6">
    <dataValidation type="list" allowBlank="1" showErrorMessage="1" sqref="U12:U21" xr:uid="{00000000-0002-0000-0900-000000000000}">
      <formula1>"○"</formula1>
    </dataValidation>
    <dataValidation type="list" allowBlank="1" showInputMessage="1" showErrorMessage="1" sqref="AC12:AC115" xr:uid="{00000000-0002-0000-0900-000001000000}">
      <formula1>"親,子"</formula1>
    </dataValidation>
    <dataValidation type="list" allowBlank="1" showErrorMessage="1" sqref="V12:V21" xr:uid="{00000000-0002-0000-0900-000002000000}">
      <formula1>"TEXT,VARCHAR,CHAR,NUMERIC,integer,boolean,bytea,DATE(時刻無),TIMESTAMP"</formula1>
    </dataValidation>
    <dataValidation type="list" allowBlank="1" showInputMessage="1" showErrorMessage="1" sqref="J5:T5 U22:U115 AB12:AB115" xr:uid="{00000000-0002-0000-0900-000003000000}">
      <formula1>"○"</formula1>
    </dataValidation>
    <dataValidation type="list" allowBlank="1" showInputMessage="1" showErrorMessage="1" sqref="V22:V115 V13:V15" xr:uid="{00000000-0002-0000-0900-000004000000}">
      <formula1>"TEXT,VARCHAR,CHAR,NUMERIC,integer,boolean,bytea,DATE(時刻無),TIMESTAMP"</formula1>
    </dataValidation>
    <dataValidation type="list" allowBlank="1" showInputMessage="1" showErrorMessage="1" sqref="F11:T11" xr:uid="{00000000-0002-0000-0900-000005000000}">
      <formula1>"IN,uIN,BR,uBR"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pageSetUpPr fitToPage="1"/>
  </sheetPr>
  <dimension ref="A1:AG194"/>
  <sheetViews>
    <sheetView showGridLines="0" zoomScale="126" zoomScaleNormal="126" zoomScaleSheetLayoutView="100" workbookViewId="0">
      <selection activeCell="D2" sqref="D2"/>
    </sheetView>
  </sheetViews>
  <sheetFormatPr defaultColWidth="9.21875" defaultRowHeight="12"/>
  <cols>
    <col min="1" max="1" width="2.21875" style="4" customWidth="1"/>
    <col min="2" max="2" width="4.77734375" style="4" bestFit="1" customWidth="1"/>
    <col min="3" max="3" width="37.21875" style="8" customWidth="1"/>
    <col min="4" max="4" width="47.77734375" style="7" customWidth="1"/>
    <col min="5" max="10" width="3.77734375" style="4" customWidth="1"/>
    <col min="11" max="11" width="3.77734375" style="8" customWidth="1"/>
    <col min="12" max="14" width="3.77734375" style="4" customWidth="1"/>
    <col min="15" max="15" width="3.77734375" style="5" customWidth="1"/>
    <col min="16" max="18" width="3.77734375" style="4" customWidth="1"/>
    <col min="19" max="19" width="3.77734375" style="7" customWidth="1"/>
    <col min="20" max="20" width="3.77734375" style="4" customWidth="1"/>
    <col min="21" max="21" width="5.44140625" style="4" customWidth="1"/>
    <col min="22" max="22" width="12.77734375" style="4" bestFit="1" customWidth="1"/>
    <col min="23" max="23" width="10" style="5" customWidth="1"/>
    <col min="24" max="24" width="5.5546875" style="5" customWidth="1"/>
    <col min="25" max="26" width="5.77734375" style="5" customWidth="1"/>
    <col min="27" max="27" width="38.77734375" style="4" bestFit="1" customWidth="1"/>
    <col min="28" max="29" width="5.5546875" style="39" bestFit="1" customWidth="1"/>
    <col min="30" max="30" width="13.77734375" style="4" customWidth="1"/>
    <col min="31" max="31" width="19.77734375" style="4" customWidth="1"/>
    <col min="32" max="32" width="23" style="4" customWidth="1"/>
    <col min="33" max="16384" width="9.21875" style="4"/>
  </cols>
  <sheetData>
    <row r="1" spans="1:33" ht="12" customHeight="1" thickBot="1">
      <c r="A1" s="1"/>
      <c r="B1" s="1"/>
      <c r="C1" s="2"/>
      <c r="D1" s="8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U1" s="3"/>
      <c r="V1" s="3"/>
      <c r="W1" s="4"/>
      <c r="X1" s="4"/>
      <c r="Y1" s="4"/>
      <c r="Z1" s="4"/>
    </row>
    <row r="2" spans="1:33">
      <c r="A2" s="240" t="s">
        <v>280</v>
      </c>
      <c r="B2" s="241"/>
      <c r="C2" s="242"/>
      <c r="D2" s="58" t="s">
        <v>441</v>
      </c>
      <c r="E2" s="243" t="s">
        <v>35</v>
      </c>
      <c r="F2" s="244"/>
      <c r="G2" s="244"/>
      <c r="H2" s="244"/>
      <c r="I2" s="245"/>
      <c r="J2" s="246"/>
      <c r="K2" s="247"/>
      <c r="L2" s="247"/>
      <c r="M2" s="247"/>
      <c r="N2" s="247"/>
      <c r="O2" s="247"/>
      <c r="P2" s="247"/>
      <c r="Q2" s="247"/>
      <c r="R2" s="247"/>
      <c r="S2" s="247"/>
      <c r="T2" s="248"/>
      <c r="U2" s="33"/>
      <c r="V2" s="33"/>
      <c r="W2" s="33"/>
      <c r="X2" s="33"/>
      <c r="Y2" s="33"/>
      <c r="Z2" s="33"/>
      <c r="AA2" s="33"/>
      <c r="AB2" s="69"/>
      <c r="AC2" s="69"/>
      <c r="AD2" s="23"/>
      <c r="AE2" s="33"/>
      <c r="AF2" s="3"/>
    </row>
    <row r="3" spans="1:33" ht="12" customHeight="1">
      <c r="A3" s="234" t="s">
        <v>282</v>
      </c>
      <c r="B3" s="235"/>
      <c r="C3" s="236"/>
      <c r="D3" s="57" t="s">
        <v>417</v>
      </c>
      <c r="E3" s="249" t="s">
        <v>16</v>
      </c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1"/>
      <c r="U3" s="33"/>
      <c r="V3" s="60"/>
      <c r="W3" s="33" t="s">
        <v>13</v>
      </c>
      <c r="X3" s="33"/>
      <c r="Y3" s="33"/>
      <c r="Z3" s="33"/>
      <c r="AA3" s="33"/>
      <c r="AB3" s="69"/>
      <c r="AC3" s="69"/>
      <c r="AD3" s="32" t="s">
        <v>30</v>
      </c>
      <c r="AE3" s="37" t="s">
        <v>47</v>
      </c>
      <c r="AF3" s="3"/>
    </row>
    <row r="4" spans="1:33">
      <c r="A4" s="234" t="s">
        <v>15</v>
      </c>
      <c r="B4" s="235"/>
      <c r="C4" s="236"/>
      <c r="D4" s="61">
        <v>600</v>
      </c>
      <c r="E4" s="237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9"/>
      <c r="U4" s="33"/>
      <c r="V4" s="33"/>
      <c r="W4" s="33"/>
      <c r="X4" s="33"/>
      <c r="Y4" s="33"/>
      <c r="Z4" s="33"/>
      <c r="AA4" s="33"/>
      <c r="AB4" s="69"/>
      <c r="AC4" s="69"/>
      <c r="AD4" s="33"/>
      <c r="AE4" s="37" t="s">
        <v>34</v>
      </c>
      <c r="AF4" s="3"/>
    </row>
    <row r="5" spans="1:33" ht="12" customHeight="1">
      <c r="A5" s="234" t="s">
        <v>9</v>
      </c>
      <c r="B5" s="235"/>
      <c r="C5" s="236"/>
      <c r="D5" s="89" t="s">
        <v>181</v>
      </c>
      <c r="E5" s="252" t="s">
        <v>79</v>
      </c>
      <c r="F5" s="253"/>
      <c r="G5" s="253"/>
      <c r="H5" s="253"/>
      <c r="I5" s="254"/>
      <c r="J5" s="255"/>
      <c r="K5" s="256"/>
      <c r="L5" s="256"/>
      <c r="M5" s="256"/>
      <c r="N5" s="256"/>
      <c r="O5" s="256"/>
      <c r="P5" s="256"/>
      <c r="Q5" s="256"/>
      <c r="R5" s="256"/>
      <c r="S5" s="256"/>
      <c r="T5" s="257"/>
      <c r="U5" s="62"/>
      <c r="V5" s="32"/>
      <c r="W5" s="33"/>
      <c r="X5" s="33"/>
      <c r="Y5" s="32"/>
      <c r="Z5" s="32"/>
      <c r="AA5" s="33"/>
      <c r="AB5" s="69"/>
      <c r="AC5" s="69"/>
      <c r="AD5" s="33"/>
      <c r="AE5" s="37" t="s">
        <v>39</v>
      </c>
      <c r="AF5" s="3"/>
    </row>
    <row r="6" spans="1:33" ht="12" customHeight="1">
      <c r="A6" s="234" t="s">
        <v>10</v>
      </c>
      <c r="B6" s="235"/>
      <c r="C6" s="236"/>
      <c r="D6" s="90">
        <v>50000</v>
      </c>
      <c r="E6" s="252" t="s">
        <v>46</v>
      </c>
      <c r="F6" s="253"/>
      <c r="G6" s="253"/>
      <c r="H6" s="253"/>
      <c r="I6" s="254"/>
      <c r="J6" s="258"/>
      <c r="K6" s="259"/>
      <c r="L6" s="259"/>
      <c r="M6" s="259"/>
      <c r="N6" s="259"/>
      <c r="O6" s="259"/>
      <c r="P6" s="259"/>
      <c r="Q6" s="259"/>
      <c r="R6" s="259"/>
      <c r="S6" s="259"/>
      <c r="T6" s="260"/>
      <c r="U6" s="62"/>
      <c r="V6" s="62"/>
      <c r="W6" s="62"/>
      <c r="X6" s="62"/>
      <c r="Y6" s="33"/>
      <c r="Z6" s="33"/>
      <c r="AA6" s="33"/>
      <c r="AB6" s="69"/>
      <c r="AC6" s="69"/>
      <c r="AD6" s="33"/>
      <c r="AE6" s="37" t="s">
        <v>38</v>
      </c>
      <c r="AF6" s="3"/>
    </row>
    <row r="7" spans="1:33" ht="13.5" customHeight="1" thickBot="1">
      <c r="A7" s="261" t="s">
        <v>11</v>
      </c>
      <c r="B7" s="262"/>
      <c r="C7" s="263"/>
      <c r="D7" s="264" t="s">
        <v>418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6"/>
      <c r="U7" s="33"/>
      <c r="V7" s="33"/>
      <c r="W7" s="33"/>
      <c r="X7" s="33"/>
      <c r="Y7" s="33"/>
      <c r="Z7" s="33"/>
      <c r="AA7" s="33"/>
      <c r="AB7" s="69"/>
      <c r="AC7" s="69"/>
      <c r="AD7" s="23"/>
      <c r="AE7" s="33" t="s">
        <v>36</v>
      </c>
      <c r="AF7" s="3"/>
    </row>
    <row r="8" spans="1:33" ht="12.6" thickBot="1">
      <c r="A8" s="33"/>
      <c r="B8" s="33"/>
      <c r="C8" s="63"/>
      <c r="D8" s="64"/>
      <c r="E8" s="87"/>
      <c r="F8" s="33"/>
      <c r="G8" s="33"/>
      <c r="H8" s="33"/>
      <c r="I8" s="33"/>
      <c r="J8" s="33"/>
      <c r="K8" s="33"/>
      <c r="L8" s="33"/>
      <c r="M8" s="33"/>
      <c r="N8" s="23"/>
      <c r="O8" s="33"/>
      <c r="P8" s="33"/>
      <c r="Q8" s="33"/>
      <c r="R8" s="33"/>
      <c r="S8" s="33"/>
      <c r="T8" s="33"/>
      <c r="U8" s="33"/>
      <c r="V8" s="33"/>
      <c r="W8" s="33"/>
      <c r="X8" s="33"/>
      <c r="Y8" s="23"/>
      <c r="Z8" s="23"/>
      <c r="AA8" s="33"/>
      <c r="AB8" s="69"/>
      <c r="AC8" s="69"/>
      <c r="AD8" s="23"/>
      <c r="AE8" s="33" t="s">
        <v>285</v>
      </c>
    </row>
    <row r="9" spans="1:33" ht="12" customHeight="1">
      <c r="A9" s="267"/>
      <c r="B9" s="270" t="s">
        <v>7</v>
      </c>
      <c r="C9" s="270" t="s">
        <v>8</v>
      </c>
      <c r="D9" s="273" t="s">
        <v>286</v>
      </c>
      <c r="E9" s="273" t="s">
        <v>287</v>
      </c>
      <c r="F9" s="276" t="s">
        <v>289</v>
      </c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8"/>
      <c r="U9" s="282" t="s">
        <v>291</v>
      </c>
      <c r="V9" s="285" t="s">
        <v>30</v>
      </c>
      <c r="W9" s="285" t="s">
        <v>292</v>
      </c>
      <c r="X9" s="285" t="s">
        <v>294</v>
      </c>
      <c r="Y9" s="65"/>
      <c r="Z9" s="65"/>
      <c r="AA9" s="286" t="s">
        <v>12</v>
      </c>
      <c r="AB9" s="279" t="s">
        <v>48</v>
      </c>
      <c r="AC9" s="279" t="s">
        <v>67</v>
      </c>
      <c r="AD9" s="23"/>
      <c r="AE9" s="33" t="s">
        <v>37</v>
      </c>
    </row>
    <row r="10" spans="1:33">
      <c r="A10" s="268"/>
      <c r="B10" s="271"/>
      <c r="C10" s="271"/>
      <c r="D10" s="274"/>
      <c r="E10" s="271"/>
      <c r="F10" s="66">
        <v>1</v>
      </c>
      <c r="G10" s="66">
        <v>2</v>
      </c>
      <c r="H10" s="66">
        <v>3</v>
      </c>
      <c r="I10" s="66">
        <v>4</v>
      </c>
      <c r="J10" s="66">
        <v>5</v>
      </c>
      <c r="K10" s="66">
        <v>6</v>
      </c>
      <c r="L10" s="66">
        <v>7</v>
      </c>
      <c r="M10" s="66">
        <v>8</v>
      </c>
      <c r="N10" s="66">
        <v>9</v>
      </c>
      <c r="O10" s="66">
        <v>10</v>
      </c>
      <c r="P10" s="66">
        <v>11</v>
      </c>
      <c r="Q10" s="66">
        <v>12</v>
      </c>
      <c r="R10" s="66">
        <v>13</v>
      </c>
      <c r="S10" s="66">
        <v>14</v>
      </c>
      <c r="T10" s="66">
        <v>15</v>
      </c>
      <c r="U10" s="283"/>
      <c r="V10" s="283"/>
      <c r="W10" s="283"/>
      <c r="X10" s="283"/>
      <c r="Y10" s="36" t="s">
        <v>295</v>
      </c>
      <c r="Z10" s="36" t="s">
        <v>45</v>
      </c>
      <c r="AA10" s="280"/>
      <c r="AB10" s="280"/>
      <c r="AC10" s="280"/>
      <c r="AD10" s="23"/>
      <c r="AE10" s="37" t="s">
        <v>32</v>
      </c>
    </row>
    <row r="11" spans="1:33" ht="12.6" thickBot="1">
      <c r="A11" s="269"/>
      <c r="B11" s="272"/>
      <c r="C11" s="272"/>
      <c r="D11" s="275"/>
      <c r="E11" s="27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284"/>
      <c r="V11" s="284"/>
      <c r="W11" s="284"/>
      <c r="X11" s="284"/>
      <c r="Y11" s="67"/>
      <c r="Z11" s="67"/>
      <c r="AA11" s="281"/>
      <c r="AB11" s="281"/>
      <c r="AC11" s="281"/>
      <c r="AD11" s="23"/>
      <c r="AE11" s="38" t="s">
        <v>31</v>
      </c>
    </row>
    <row r="12" spans="1:33" s="21" customFormat="1" ht="12.6" thickTop="1">
      <c r="A12" s="25"/>
      <c r="B12" s="108">
        <f t="shared" ref="B12:B75" si="0">ROW()-11</f>
        <v>1</v>
      </c>
      <c r="C12" s="91" t="s">
        <v>183</v>
      </c>
      <c r="D12" s="92" t="s">
        <v>184</v>
      </c>
      <c r="E12" s="92">
        <v>1</v>
      </c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4" t="s">
        <v>27</v>
      </c>
      <c r="V12" s="92" t="s">
        <v>28</v>
      </c>
      <c r="W12" s="95">
        <v>10</v>
      </c>
      <c r="X12" s="92"/>
      <c r="Y12" s="96"/>
      <c r="Z12" s="96"/>
      <c r="AA12" s="97" t="s">
        <v>184</v>
      </c>
      <c r="AB12" s="152"/>
      <c r="AC12" s="152"/>
      <c r="AD12" s="27"/>
      <c r="AE12" s="27"/>
      <c r="AG12" s="4"/>
    </row>
    <row r="13" spans="1:33" s="21" customFormat="1">
      <c r="A13" s="25"/>
      <c r="B13" s="108">
        <f t="shared" si="0"/>
        <v>2</v>
      </c>
      <c r="C13" s="146" t="s">
        <v>393</v>
      </c>
      <c r="D13" s="147" t="s">
        <v>395</v>
      </c>
      <c r="E13" s="148">
        <v>2</v>
      </c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02" t="s">
        <v>27</v>
      </c>
      <c r="V13" s="150" t="s">
        <v>279</v>
      </c>
      <c r="W13" s="148">
        <v>10</v>
      </c>
      <c r="X13" s="148"/>
      <c r="Y13" s="151"/>
      <c r="Z13" s="151">
        <v>10</v>
      </c>
      <c r="AA13" s="105" t="s">
        <v>395</v>
      </c>
      <c r="AB13" s="152"/>
      <c r="AC13" s="152"/>
      <c r="AD13" s="42" t="s">
        <v>296</v>
      </c>
      <c r="AE13" s="33" t="s">
        <v>53</v>
      </c>
      <c r="AG13" s="4"/>
    </row>
    <row r="14" spans="1:33" s="21" customFormat="1">
      <c r="A14" s="25"/>
      <c r="B14" s="108">
        <f t="shared" si="0"/>
        <v>3</v>
      </c>
      <c r="C14" s="146" t="s">
        <v>278</v>
      </c>
      <c r="D14" s="147" t="s">
        <v>277</v>
      </c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02" t="s">
        <v>27</v>
      </c>
      <c r="V14" s="150" t="s">
        <v>279</v>
      </c>
      <c r="W14" s="148">
        <v>10</v>
      </c>
      <c r="X14" s="148"/>
      <c r="Y14" s="151"/>
      <c r="Z14" s="151">
        <v>10</v>
      </c>
      <c r="AA14" s="105" t="s">
        <v>277</v>
      </c>
      <c r="AB14" s="152"/>
      <c r="AC14" s="152"/>
      <c r="AD14" s="42" t="s">
        <v>296</v>
      </c>
      <c r="AE14" s="33" t="s">
        <v>53</v>
      </c>
      <c r="AG14" s="4"/>
    </row>
    <row r="15" spans="1:33" s="21" customFormat="1">
      <c r="A15" s="25"/>
      <c r="B15" s="108">
        <v>4</v>
      </c>
      <c r="C15" s="157" t="s">
        <v>419</v>
      </c>
      <c r="D15" s="147" t="s">
        <v>420</v>
      </c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9"/>
      <c r="V15" s="154" t="s">
        <v>33</v>
      </c>
      <c r="W15" s="148">
        <v>10</v>
      </c>
      <c r="X15" s="148"/>
      <c r="Y15" s="151"/>
      <c r="Z15" s="151">
        <v>10</v>
      </c>
      <c r="AA15" s="156" t="s">
        <v>420</v>
      </c>
      <c r="AB15" s="40"/>
      <c r="AC15" s="40"/>
      <c r="AD15" s="42"/>
      <c r="AE15" s="33"/>
      <c r="AG15" s="4"/>
    </row>
    <row r="16" spans="1:33" s="21" customFormat="1">
      <c r="A16" s="25"/>
      <c r="B16" s="108">
        <f t="shared" si="0"/>
        <v>5</v>
      </c>
      <c r="C16" s="157" t="s">
        <v>421</v>
      </c>
      <c r="D16" s="147" t="s">
        <v>422</v>
      </c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9"/>
      <c r="V16" s="154" t="s">
        <v>33</v>
      </c>
      <c r="W16" s="148">
        <v>10</v>
      </c>
      <c r="X16" s="148"/>
      <c r="Y16" s="151"/>
      <c r="Z16" s="151">
        <v>7</v>
      </c>
      <c r="AA16" s="156" t="s">
        <v>422</v>
      </c>
      <c r="AB16" s="40"/>
      <c r="AC16" s="40"/>
      <c r="AD16" s="27"/>
      <c r="AE16" s="33" t="s">
        <v>76</v>
      </c>
      <c r="AF16" s="4"/>
      <c r="AG16" s="4"/>
    </row>
    <row r="17" spans="1:33" s="21" customFormat="1">
      <c r="A17" s="25"/>
      <c r="B17" s="108">
        <f t="shared" si="0"/>
        <v>6</v>
      </c>
      <c r="C17" s="106" t="s">
        <v>185</v>
      </c>
      <c r="D17" s="100" t="s">
        <v>186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2"/>
      <c r="V17" s="100" t="s">
        <v>33</v>
      </c>
      <c r="W17" s="100">
        <v>50</v>
      </c>
      <c r="X17" s="100"/>
      <c r="Y17" s="103"/>
      <c r="Z17" s="103">
        <v>30</v>
      </c>
      <c r="AA17" s="105" t="s">
        <v>186</v>
      </c>
      <c r="AB17" s="152"/>
      <c r="AC17" s="152"/>
      <c r="AD17" s="23"/>
      <c r="AE17" s="33" t="s">
        <v>297</v>
      </c>
      <c r="AF17" s="4"/>
      <c r="AG17" s="4"/>
    </row>
    <row r="18" spans="1:33" s="21" customFormat="1">
      <c r="A18" s="25"/>
      <c r="B18" s="108">
        <f t="shared" si="0"/>
        <v>7</v>
      </c>
      <c r="C18" s="98" t="s">
        <v>423</v>
      </c>
      <c r="D18" s="99" t="s">
        <v>424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2"/>
      <c r="V18" s="100" t="s">
        <v>33</v>
      </c>
      <c r="W18" s="100">
        <v>256</v>
      </c>
      <c r="X18" s="100"/>
      <c r="Y18" s="103"/>
      <c r="Z18" s="104">
        <v>100</v>
      </c>
      <c r="AA18" s="105" t="s">
        <v>425</v>
      </c>
      <c r="AB18" s="152"/>
      <c r="AC18" s="152"/>
      <c r="AD18" s="23"/>
      <c r="AE18" s="23"/>
      <c r="AF18" s="4"/>
      <c r="AG18" s="4"/>
    </row>
    <row r="19" spans="1:33" s="21" customFormat="1">
      <c r="A19" s="25"/>
      <c r="B19" s="108">
        <f t="shared" si="0"/>
        <v>8</v>
      </c>
      <c r="C19" s="98" t="s">
        <v>426</v>
      </c>
      <c r="D19" s="99" t="s">
        <v>427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2"/>
      <c r="V19" s="100" t="s">
        <v>33</v>
      </c>
      <c r="W19" s="100">
        <v>256</v>
      </c>
      <c r="X19" s="100"/>
      <c r="Y19" s="103"/>
      <c r="Z19" s="104">
        <v>100</v>
      </c>
      <c r="AA19" s="105" t="s">
        <v>428</v>
      </c>
      <c r="AB19" s="152"/>
      <c r="AC19" s="152"/>
      <c r="AD19" s="32" t="s">
        <v>298</v>
      </c>
      <c r="AE19" s="33" t="s">
        <v>14</v>
      </c>
      <c r="AF19" s="4"/>
      <c r="AG19" s="4"/>
    </row>
    <row r="20" spans="1:33" s="21" customFormat="1">
      <c r="A20" s="25"/>
      <c r="B20" s="108">
        <f t="shared" si="0"/>
        <v>9</v>
      </c>
      <c r="C20" s="98" t="s">
        <v>429</v>
      </c>
      <c r="D20" s="99" t="s">
        <v>430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2"/>
      <c r="V20" s="100" t="s">
        <v>33</v>
      </c>
      <c r="W20" s="100">
        <v>5</v>
      </c>
      <c r="X20" s="100"/>
      <c r="Y20" s="103"/>
      <c r="Z20" s="104">
        <v>5</v>
      </c>
      <c r="AA20" s="105" t="s">
        <v>430</v>
      </c>
      <c r="AB20" s="152"/>
      <c r="AC20" s="152"/>
      <c r="AD20" s="42" t="s">
        <v>52</v>
      </c>
      <c r="AE20" s="33" t="s">
        <v>54</v>
      </c>
      <c r="AF20" s="4"/>
      <c r="AG20" s="4"/>
    </row>
    <row r="21" spans="1:33" s="21" customFormat="1">
      <c r="A21" s="25"/>
      <c r="B21" s="108">
        <f t="shared" si="0"/>
        <v>10</v>
      </c>
      <c r="C21" s="98" t="s">
        <v>431</v>
      </c>
      <c r="D21" s="99" t="s">
        <v>432</v>
      </c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2"/>
      <c r="V21" s="100" t="s">
        <v>33</v>
      </c>
      <c r="W21" s="100">
        <v>256</v>
      </c>
      <c r="X21" s="100"/>
      <c r="Y21" s="103"/>
      <c r="Z21" s="104">
        <v>100</v>
      </c>
      <c r="AA21" s="105" t="s">
        <v>433</v>
      </c>
      <c r="AB21" s="152"/>
      <c r="AC21" s="152"/>
      <c r="AD21" s="41" t="s">
        <v>50</v>
      </c>
      <c r="AE21" s="33" t="s">
        <v>51</v>
      </c>
      <c r="AF21" s="4"/>
      <c r="AG21" s="4"/>
    </row>
    <row r="22" spans="1:33" s="21" customFormat="1">
      <c r="A22" s="25"/>
      <c r="B22" s="108">
        <f t="shared" si="0"/>
        <v>11</v>
      </c>
      <c r="C22" s="98" t="s">
        <v>434</v>
      </c>
      <c r="D22" s="99" t="s">
        <v>435</v>
      </c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2"/>
      <c r="V22" s="100" t="s">
        <v>33</v>
      </c>
      <c r="W22" s="100">
        <v>256</v>
      </c>
      <c r="X22" s="100"/>
      <c r="Y22" s="103"/>
      <c r="Z22" s="104">
        <v>100</v>
      </c>
      <c r="AA22" s="105" t="s">
        <v>436</v>
      </c>
      <c r="AB22" s="152"/>
      <c r="AC22" s="152"/>
      <c r="AD22" s="27"/>
      <c r="AE22" s="27"/>
      <c r="AF22" s="4"/>
      <c r="AG22" s="4"/>
    </row>
    <row r="23" spans="1:33" s="21" customFormat="1">
      <c r="A23" s="25"/>
      <c r="B23" s="108">
        <f t="shared" si="0"/>
        <v>12</v>
      </c>
      <c r="C23" s="98" t="s">
        <v>437</v>
      </c>
      <c r="D23" s="99" t="s">
        <v>438</v>
      </c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02"/>
      <c r="V23" s="100" t="s">
        <v>33</v>
      </c>
      <c r="W23" s="100">
        <v>5</v>
      </c>
      <c r="X23" s="148"/>
      <c r="Y23" s="151"/>
      <c r="Z23" s="151">
        <v>5</v>
      </c>
      <c r="AA23" s="156" t="s">
        <v>438</v>
      </c>
      <c r="AB23" s="152"/>
      <c r="AC23" s="152"/>
      <c r="AD23" s="27"/>
      <c r="AE23" s="27"/>
      <c r="AF23" s="4"/>
      <c r="AG23" s="4"/>
    </row>
    <row r="24" spans="1:33" s="21" customFormat="1">
      <c r="A24" s="25"/>
      <c r="B24" s="108">
        <f t="shared" si="0"/>
        <v>13</v>
      </c>
      <c r="C24" s="153" t="s">
        <v>68</v>
      </c>
      <c r="D24" s="147" t="s">
        <v>87</v>
      </c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9" t="s">
        <v>27</v>
      </c>
      <c r="V24" s="154" t="s">
        <v>28</v>
      </c>
      <c r="W24" s="155">
        <v>1</v>
      </c>
      <c r="X24" s="148"/>
      <c r="Y24" s="151"/>
      <c r="Z24" s="151"/>
      <c r="AA24" s="156" t="s">
        <v>87</v>
      </c>
      <c r="AB24" s="152"/>
      <c r="AC24" s="152"/>
      <c r="AD24" s="27"/>
      <c r="AE24" s="27"/>
      <c r="AF24" s="4"/>
      <c r="AG24" s="4"/>
    </row>
    <row r="25" spans="1:33" s="21" customFormat="1">
      <c r="A25" s="25"/>
      <c r="B25" s="108">
        <f t="shared" si="0"/>
        <v>14</v>
      </c>
      <c r="C25" s="153" t="s">
        <v>69</v>
      </c>
      <c r="D25" s="147" t="s">
        <v>88</v>
      </c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9" t="s">
        <v>27</v>
      </c>
      <c r="V25" s="154" t="s">
        <v>29</v>
      </c>
      <c r="W25" s="155"/>
      <c r="X25" s="148"/>
      <c r="Y25" s="151"/>
      <c r="Z25" s="151"/>
      <c r="AA25" s="156" t="s">
        <v>88</v>
      </c>
      <c r="AB25" s="152"/>
      <c r="AC25" s="152"/>
      <c r="AD25" s="23"/>
      <c r="AE25" s="23"/>
      <c r="AF25" s="4"/>
      <c r="AG25" s="4"/>
    </row>
    <row r="26" spans="1:33" s="21" customFormat="1">
      <c r="A26" s="25"/>
      <c r="B26" s="108">
        <f t="shared" si="0"/>
        <v>15</v>
      </c>
      <c r="C26" s="153" t="s">
        <v>70</v>
      </c>
      <c r="D26" s="147" t="s">
        <v>89</v>
      </c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9" t="s">
        <v>27</v>
      </c>
      <c r="V26" s="154" t="s">
        <v>33</v>
      </c>
      <c r="W26" s="155">
        <v>20</v>
      </c>
      <c r="X26" s="148"/>
      <c r="Y26" s="151"/>
      <c r="Z26" s="151">
        <v>15</v>
      </c>
      <c r="AA26" s="156" t="s">
        <v>89</v>
      </c>
      <c r="AB26" s="152"/>
      <c r="AC26" s="152"/>
      <c r="AD26" s="23"/>
      <c r="AE26" s="23"/>
      <c r="AF26" s="4"/>
      <c r="AG26" s="4"/>
    </row>
    <row r="27" spans="1:33" s="21" customFormat="1">
      <c r="A27" s="25"/>
      <c r="B27" s="108">
        <f t="shared" si="0"/>
        <v>16</v>
      </c>
      <c r="C27" s="153" t="s">
        <v>71</v>
      </c>
      <c r="D27" s="147" t="s">
        <v>90</v>
      </c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9" t="s">
        <v>27</v>
      </c>
      <c r="V27" s="154" t="s">
        <v>29</v>
      </c>
      <c r="W27" s="158"/>
      <c r="X27" s="148"/>
      <c r="Y27" s="151"/>
      <c r="Z27" s="151"/>
      <c r="AA27" s="156" t="s">
        <v>90</v>
      </c>
      <c r="AB27" s="152"/>
      <c r="AC27" s="152"/>
      <c r="AD27" s="23"/>
      <c r="AE27" s="23"/>
      <c r="AF27" s="4"/>
      <c r="AG27" s="4"/>
    </row>
    <row r="28" spans="1:33" s="21" customFormat="1">
      <c r="A28" s="25"/>
      <c r="B28" s="108">
        <f t="shared" si="0"/>
        <v>17</v>
      </c>
      <c r="C28" s="153" t="s">
        <v>72</v>
      </c>
      <c r="D28" s="147" t="s">
        <v>91</v>
      </c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9" t="s">
        <v>27</v>
      </c>
      <c r="V28" s="154" t="s">
        <v>33</v>
      </c>
      <c r="W28" s="158">
        <v>20</v>
      </c>
      <c r="X28" s="148"/>
      <c r="Y28" s="151"/>
      <c r="Z28" s="151">
        <v>15</v>
      </c>
      <c r="AA28" s="156" t="s">
        <v>91</v>
      </c>
      <c r="AB28" s="152"/>
      <c r="AC28" s="152"/>
      <c r="AD28" s="23"/>
      <c r="AE28" s="23"/>
      <c r="AF28" s="4"/>
      <c r="AG28" s="4"/>
    </row>
    <row r="29" spans="1:33" s="21" customFormat="1">
      <c r="A29" s="25"/>
      <c r="B29" s="108">
        <f t="shared" si="0"/>
        <v>18</v>
      </c>
      <c r="C29" s="153" t="s">
        <v>73</v>
      </c>
      <c r="D29" s="147" t="s">
        <v>78</v>
      </c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9" t="s">
        <v>27</v>
      </c>
      <c r="V29" s="154" t="s">
        <v>74</v>
      </c>
      <c r="W29" s="155"/>
      <c r="X29" s="148"/>
      <c r="Y29" s="151"/>
      <c r="Z29" s="151"/>
      <c r="AA29" s="156" t="s">
        <v>78</v>
      </c>
      <c r="AB29" s="152"/>
      <c r="AC29" s="152"/>
      <c r="AD29" s="23"/>
      <c r="AE29" s="23"/>
      <c r="AF29" s="4"/>
      <c r="AG29" s="4"/>
    </row>
    <row r="30" spans="1:33" s="21" customFormat="1">
      <c r="A30" s="25"/>
      <c r="B30" s="24">
        <f t="shared" si="0"/>
        <v>19</v>
      </c>
      <c r="C30" s="15"/>
      <c r="D30" s="5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59"/>
      <c r="V30" s="34"/>
      <c r="W30" s="68"/>
      <c r="X30" s="26"/>
      <c r="Y30" s="35"/>
      <c r="Z30" s="35"/>
      <c r="AA30" s="43"/>
      <c r="AB30" s="40"/>
      <c r="AC30" s="40"/>
      <c r="AD30" s="23"/>
      <c r="AE30" s="23"/>
      <c r="AF30" s="4"/>
      <c r="AG30" s="4"/>
    </row>
    <row r="31" spans="1:33" s="21" customFormat="1">
      <c r="A31" s="25"/>
      <c r="B31" s="24">
        <f t="shared" si="0"/>
        <v>20</v>
      </c>
      <c r="C31" s="15"/>
      <c r="D31" s="5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59"/>
      <c r="V31" s="34"/>
      <c r="W31" s="68"/>
      <c r="X31" s="26"/>
      <c r="Y31" s="35"/>
      <c r="Z31" s="35"/>
      <c r="AA31" s="43"/>
      <c r="AB31" s="40"/>
      <c r="AC31" s="40"/>
      <c r="AD31" s="23"/>
      <c r="AE31" s="23"/>
      <c r="AF31" s="4"/>
      <c r="AG31" s="4"/>
    </row>
    <row r="32" spans="1:33" s="21" customFormat="1">
      <c r="A32" s="25"/>
      <c r="B32" s="24">
        <f t="shared" si="0"/>
        <v>21</v>
      </c>
      <c r="C32" s="15"/>
      <c r="D32" s="5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59"/>
      <c r="V32" s="34"/>
      <c r="W32" s="68"/>
      <c r="X32" s="26"/>
      <c r="Y32" s="35"/>
      <c r="Z32" s="35"/>
      <c r="AA32" s="43"/>
      <c r="AB32" s="40"/>
      <c r="AC32" s="40"/>
      <c r="AD32" s="23"/>
      <c r="AE32" s="23"/>
      <c r="AF32" s="4"/>
      <c r="AG32" s="4"/>
    </row>
    <row r="33" spans="1:33" s="21" customFormat="1">
      <c r="A33" s="25"/>
      <c r="B33" s="24">
        <f t="shared" si="0"/>
        <v>22</v>
      </c>
      <c r="C33" s="15"/>
      <c r="D33" s="5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59"/>
      <c r="V33" s="34"/>
      <c r="W33" s="68"/>
      <c r="X33" s="26"/>
      <c r="Y33" s="35"/>
      <c r="Z33" s="35"/>
      <c r="AA33" s="43"/>
      <c r="AB33" s="40"/>
      <c r="AC33" s="40"/>
      <c r="AD33" s="23"/>
      <c r="AE33" s="23"/>
      <c r="AF33" s="4"/>
      <c r="AG33" s="4"/>
    </row>
    <row r="34" spans="1:33" s="21" customFormat="1">
      <c r="A34" s="25"/>
      <c r="B34" s="24">
        <f t="shared" si="0"/>
        <v>23</v>
      </c>
      <c r="C34" s="15"/>
      <c r="D34" s="5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59"/>
      <c r="V34" s="34"/>
      <c r="W34" s="68"/>
      <c r="X34" s="26"/>
      <c r="Y34" s="35"/>
      <c r="Z34" s="35"/>
      <c r="AA34" s="43"/>
      <c r="AB34" s="40"/>
      <c r="AC34" s="40"/>
      <c r="AD34" s="23"/>
      <c r="AE34" s="23"/>
      <c r="AF34" s="4"/>
      <c r="AG34" s="4"/>
    </row>
    <row r="35" spans="1:33" s="21" customFormat="1">
      <c r="A35" s="25"/>
      <c r="B35" s="24">
        <f t="shared" si="0"/>
        <v>24</v>
      </c>
      <c r="C35" s="15"/>
      <c r="D35" s="5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59"/>
      <c r="V35" s="34"/>
      <c r="W35" s="68"/>
      <c r="X35" s="26"/>
      <c r="Y35" s="35"/>
      <c r="Z35" s="35"/>
      <c r="AA35" s="43"/>
      <c r="AB35" s="40"/>
      <c r="AC35" s="40"/>
      <c r="AD35" s="23"/>
      <c r="AE35" s="23"/>
      <c r="AF35" s="4"/>
      <c r="AG35" s="4"/>
    </row>
    <row r="36" spans="1:33" s="21" customFormat="1">
      <c r="A36" s="25"/>
      <c r="B36" s="24">
        <f t="shared" si="0"/>
        <v>25</v>
      </c>
      <c r="C36" s="15"/>
      <c r="D36" s="5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59"/>
      <c r="V36" s="34"/>
      <c r="W36" s="68"/>
      <c r="X36" s="26"/>
      <c r="Y36" s="35"/>
      <c r="Z36" s="35"/>
      <c r="AA36" s="43"/>
      <c r="AB36" s="40"/>
      <c r="AC36" s="40"/>
      <c r="AD36" s="23"/>
      <c r="AE36" s="23"/>
      <c r="AF36" s="4"/>
      <c r="AG36" s="4"/>
    </row>
    <row r="37" spans="1:33" s="21" customFormat="1">
      <c r="A37" s="25"/>
      <c r="B37" s="24">
        <f t="shared" si="0"/>
        <v>26</v>
      </c>
      <c r="C37" s="15"/>
      <c r="D37" s="5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59"/>
      <c r="V37" s="34"/>
      <c r="W37" s="68"/>
      <c r="X37" s="26"/>
      <c r="Y37" s="35"/>
      <c r="Z37" s="35"/>
      <c r="AA37" s="43"/>
      <c r="AB37" s="40"/>
      <c r="AC37" s="40"/>
      <c r="AD37" s="23"/>
      <c r="AE37" s="23"/>
      <c r="AF37" s="4"/>
      <c r="AG37" s="4"/>
    </row>
    <row r="38" spans="1:33" s="21" customFormat="1">
      <c r="A38" s="25"/>
      <c r="B38" s="24">
        <f t="shared" si="0"/>
        <v>27</v>
      </c>
      <c r="C38" s="15"/>
      <c r="D38" s="5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59"/>
      <c r="V38" s="34"/>
      <c r="W38" s="68"/>
      <c r="X38" s="26"/>
      <c r="Y38" s="35"/>
      <c r="Z38" s="35"/>
      <c r="AA38" s="43"/>
      <c r="AB38" s="40"/>
      <c r="AC38" s="40"/>
      <c r="AD38" s="23"/>
      <c r="AE38" s="23"/>
      <c r="AF38" s="4"/>
      <c r="AG38" s="4"/>
    </row>
    <row r="39" spans="1:33" s="21" customFormat="1">
      <c r="A39" s="25"/>
      <c r="B39" s="24">
        <f t="shared" si="0"/>
        <v>28</v>
      </c>
      <c r="C39" s="15"/>
      <c r="D39" s="5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59"/>
      <c r="V39" s="34"/>
      <c r="W39" s="68"/>
      <c r="X39" s="26"/>
      <c r="Y39" s="35"/>
      <c r="Z39" s="35"/>
      <c r="AA39" s="43"/>
      <c r="AB39" s="40"/>
      <c r="AC39" s="40"/>
      <c r="AD39" s="23"/>
      <c r="AE39" s="23"/>
      <c r="AF39" s="4"/>
      <c r="AG39" s="4"/>
    </row>
    <row r="40" spans="1:33" s="21" customFormat="1">
      <c r="A40" s="25"/>
      <c r="B40" s="24">
        <f t="shared" si="0"/>
        <v>29</v>
      </c>
      <c r="C40" s="15"/>
      <c r="D40" s="5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59"/>
      <c r="V40" s="34"/>
      <c r="W40" s="68"/>
      <c r="X40" s="26"/>
      <c r="Y40" s="35"/>
      <c r="Z40" s="35"/>
      <c r="AA40" s="43"/>
      <c r="AB40" s="40"/>
      <c r="AC40" s="40"/>
      <c r="AD40" s="23"/>
      <c r="AE40" s="23"/>
      <c r="AF40" s="4"/>
      <c r="AG40" s="4"/>
    </row>
    <row r="41" spans="1:33" s="21" customFormat="1">
      <c r="A41" s="25"/>
      <c r="B41" s="24">
        <f t="shared" si="0"/>
        <v>30</v>
      </c>
      <c r="C41" s="15"/>
      <c r="D41" s="5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59"/>
      <c r="V41" s="34"/>
      <c r="W41" s="68"/>
      <c r="X41" s="26"/>
      <c r="Y41" s="35"/>
      <c r="Z41" s="35"/>
      <c r="AA41" s="43"/>
      <c r="AB41" s="40"/>
      <c r="AC41" s="40"/>
      <c r="AD41" s="23"/>
      <c r="AE41" s="23"/>
      <c r="AF41" s="4"/>
      <c r="AG41" s="4"/>
    </row>
    <row r="42" spans="1:33" s="21" customFormat="1">
      <c r="A42" s="25"/>
      <c r="B42" s="24">
        <f t="shared" si="0"/>
        <v>31</v>
      </c>
      <c r="C42" s="15"/>
      <c r="D42" s="5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59"/>
      <c r="V42" s="34"/>
      <c r="W42" s="68"/>
      <c r="X42" s="26"/>
      <c r="Y42" s="35"/>
      <c r="Z42" s="35"/>
      <c r="AA42" s="43"/>
      <c r="AB42" s="40"/>
      <c r="AC42" s="40"/>
      <c r="AD42" s="23"/>
      <c r="AE42" s="23"/>
      <c r="AF42" s="4"/>
      <c r="AG42" s="4"/>
    </row>
    <row r="43" spans="1:33" s="21" customFormat="1">
      <c r="A43" s="25"/>
      <c r="B43" s="24">
        <f t="shared" si="0"/>
        <v>32</v>
      </c>
      <c r="C43" s="15"/>
      <c r="D43" s="5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59"/>
      <c r="V43" s="34"/>
      <c r="W43" s="68"/>
      <c r="X43" s="26"/>
      <c r="Y43" s="35"/>
      <c r="Z43" s="35"/>
      <c r="AA43" s="43"/>
      <c r="AB43" s="40"/>
      <c r="AC43" s="40"/>
      <c r="AD43" s="23"/>
      <c r="AE43" s="23"/>
      <c r="AF43" s="4"/>
      <c r="AG43" s="4"/>
    </row>
    <row r="44" spans="1:33" s="21" customFormat="1">
      <c r="A44" s="25"/>
      <c r="B44" s="24">
        <f t="shared" si="0"/>
        <v>33</v>
      </c>
      <c r="C44" s="15"/>
      <c r="D44" s="5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59"/>
      <c r="V44" s="34"/>
      <c r="W44" s="68"/>
      <c r="X44" s="26"/>
      <c r="Y44" s="35"/>
      <c r="Z44" s="35"/>
      <c r="AA44" s="43"/>
      <c r="AB44" s="40"/>
      <c r="AC44" s="40"/>
      <c r="AD44" s="23"/>
      <c r="AE44" s="23"/>
      <c r="AF44" s="4"/>
      <c r="AG44" s="4"/>
    </row>
    <row r="45" spans="1:33" s="21" customFormat="1">
      <c r="A45" s="25"/>
      <c r="B45" s="24">
        <f t="shared" si="0"/>
        <v>34</v>
      </c>
      <c r="C45" s="15"/>
      <c r="D45" s="5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59"/>
      <c r="V45" s="34"/>
      <c r="W45" s="70"/>
      <c r="X45" s="26"/>
      <c r="Y45" s="35"/>
      <c r="Z45" s="35"/>
      <c r="AA45" s="43"/>
      <c r="AB45" s="40"/>
      <c r="AC45" s="40"/>
      <c r="AD45" s="23"/>
      <c r="AE45" s="23"/>
      <c r="AF45" s="4"/>
      <c r="AG45" s="4"/>
    </row>
    <row r="46" spans="1:33" s="21" customFormat="1">
      <c r="A46" s="25"/>
      <c r="B46" s="24">
        <f t="shared" si="0"/>
        <v>35</v>
      </c>
      <c r="C46" s="15"/>
      <c r="D46" s="5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59"/>
      <c r="V46" s="34"/>
      <c r="W46" s="70"/>
      <c r="X46" s="26"/>
      <c r="Y46" s="35"/>
      <c r="Z46" s="35"/>
      <c r="AA46" s="43"/>
      <c r="AB46" s="40"/>
      <c r="AC46" s="40"/>
      <c r="AD46" s="23"/>
      <c r="AE46" s="23"/>
      <c r="AF46" s="4"/>
      <c r="AG46" s="4"/>
    </row>
    <row r="47" spans="1:33" s="21" customFormat="1">
      <c r="A47" s="25"/>
      <c r="B47" s="24">
        <f t="shared" si="0"/>
        <v>36</v>
      </c>
      <c r="C47" s="15"/>
      <c r="D47" s="5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59"/>
      <c r="V47" s="34"/>
      <c r="W47" s="70"/>
      <c r="X47" s="26"/>
      <c r="Y47" s="35"/>
      <c r="Z47" s="35"/>
      <c r="AA47" s="43"/>
      <c r="AB47" s="40"/>
      <c r="AC47" s="40"/>
      <c r="AD47" s="23"/>
      <c r="AE47" s="23"/>
      <c r="AF47" s="4"/>
      <c r="AG47" s="4"/>
    </row>
    <row r="48" spans="1:33" s="21" customFormat="1">
      <c r="A48" s="25"/>
      <c r="B48" s="24">
        <f t="shared" si="0"/>
        <v>37</v>
      </c>
      <c r="C48" s="15"/>
      <c r="D48" s="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59"/>
      <c r="V48" s="34"/>
      <c r="W48" s="70"/>
      <c r="X48" s="26"/>
      <c r="Y48" s="35"/>
      <c r="Z48" s="35"/>
      <c r="AA48" s="43"/>
      <c r="AB48" s="40"/>
      <c r="AC48" s="40"/>
      <c r="AD48" s="23"/>
      <c r="AE48" s="23"/>
      <c r="AF48" s="4"/>
      <c r="AG48" s="4"/>
    </row>
    <row r="49" spans="1:33" s="21" customFormat="1">
      <c r="A49" s="25"/>
      <c r="B49" s="24">
        <f t="shared" si="0"/>
        <v>38</v>
      </c>
      <c r="C49" s="15"/>
      <c r="D49" s="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59"/>
      <c r="V49" s="34"/>
      <c r="W49" s="70"/>
      <c r="X49" s="26"/>
      <c r="Y49" s="35"/>
      <c r="Z49" s="35"/>
      <c r="AA49" s="43"/>
      <c r="AB49" s="40"/>
      <c r="AC49" s="40"/>
      <c r="AD49" s="23"/>
      <c r="AE49" s="23"/>
      <c r="AF49" s="4"/>
      <c r="AG49" s="4"/>
    </row>
    <row r="50" spans="1:33" s="21" customFormat="1">
      <c r="A50" s="25"/>
      <c r="B50" s="24">
        <f t="shared" si="0"/>
        <v>39</v>
      </c>
      <c r="C50" s="15"/>
      <c r="D50" s="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59"/>
      <c r="V50" s="26"/>
      <c r="W50" s="68"/>
      <c r="X50" s="26"/>
      <c r="Y50" s="35"/>
      <c r="Z50" s="35"/>
      <c r="AA50" s="43"/>
      <c r="AB50" s="40"/>
      <c r="AC50" s="40"/>
      <c r="AD50" s="23"/>
      <c r="AE50" s="23"/>
      <c r="AF50" s="4"/>
      <c r="AG50" s="4"/>
    </row>
    <row r="51" spans="1:33" s="21" customFormat="1">
      <c r="A51" s="25"/>
      <c r="B51" s="24">
        <f t="shared" si="0"/>
        <v>40</v>
      </c>
      <c r="C51" s="71"/>
      <c r="D51" s="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59"/>
      <c r="V51" s="26"/>
      <c r="W51" s="26"/>
      <c r="X51" s="26"/>
      <c r="Y51" s="35"/>
      <c r="Z51" s="35"/>
      <c r="AA51" s="43"/>
      <c r="AB51" s="40"/>
      <c r="AC51" s="40"/>
      <c r="AD51" s="23"/>
      <c r="AE51" s="23"/>
      <c r="AF51" s="4"/>
      <c r="AG51" s="4"/>
    </row>
    <row r="52" spans="1:33" s="21" customFormat="1">
      <c r="A52" s="25"/>
      <c r="B52" s="24">
        <f t="shared" si="0"/>
        <v>41</v>
      </c>
      <c r="C52" s="71"/>
      <c r="D52" s="5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59"/>
      <c r="V52" s="72"/>
      <c r="W52" s="26"/>
      <c r="X52" s="26"/>
      <c r="Y52" s="35"/>
      <c r="Z52" s="35"/>
      <c r="AA52" s="43"/>
      <c r="AB52" s="40"/>
      <c r="AC52" s="40"/>
      <c r="AD52" s="23"/>
      <c r="AE52" s="23"/>
      <c r="AF52" s="4"/>
      <c r="AG52" s="4"/>
    </row>
    <row r="53" spans="1:33" s="21" customFormat="1">
      <c r="A53" s="25"/>
      <c r="B53" s="24">
        <f t="shared" si="0"/>
        <v>42</v>
      </c>
      <c r="C53" s="71"/>
      <c r="D53" s="5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59"/>
      <c r="V53" s="26"/>
      <c r="W53" s="26"/>
      <c r="X53" s="26"/>
      <c r="Y53" s="35"/>
      <c r="Z53" s="35"/>
      <c r="AA53" s="43"/>
      <c r="AB53" s="40"/>
      <c r="AC53" s="40"/>
      <c r="AD53" s="23"/>
      <c r="AE53" s="23"/>
      <c r="AF53" s="4"/>
      <c r="AG53" s="4"/>
    </row>
    <row r="54" spans="1:33" s="21" customFormat="1">
      <c r="A54" s="25"/>
      <c r="B54" s="24">
        <f t="shared" si="0"/>
        <v>43</v>
      </c>
      <c r="C54" s="71"/>
      <c r="D54" s="5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59"/>
      <c r="V54" s="72"/>
      <c r="W54" s="26"/>
      <c r="X54" s="26"/>
      <c r="Y54" s="35"/>
      <c r="Z54" s="35"/>
      <c r="AA54" s="43"/>
      <c r="AB54" s="40"/>
      <c r="AC54" s="40"/>
      <c r="AD54" s="23"/>
      <c r="AE54" s="23"/>
      <c r="AF54" s="4"/>
      <c r="AG54" s="4"/>
    </row>
    <row r="55" spans="1:33" s="21" customFormat="1">
      <c r="A55" s="25"/>
      <c r="B55" s="24">
        <f t="shared" si="0"/>
        <v>44</v>
      </c>
      <c r="C55" s="34"/>
      <c r="D55" s="5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59"/>
      <c r="V55" s="72"/>
      <c r="W55" s="68"/>
      <c r="X55" s="26"/>
      <c r="Y55" s="35"/>
      <c r="Z55" s="35"/>
      <c r="AA55" s="43"/>
      <c r="AB55" s="40"/>
      <c r="AC55" s="40"/>
      <c r="AD55" s="23"/>
      <c r="AE55" s="23"/>
      <c r="AF55" s="4"/>
      <c r="AG55" s="4"/>
    </row>
    <row r="56" spans="1:33" s="21" customFormat="1">
      <c r="A56" s="25"/>
      <c r="B56" s="24">
        <f t="shared" si="0"/>
        <v>45</v>
      </c>
      <c r="C56" s="34"/>
      <c r="D56" s="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59"/>
      <c r="V56" s="72"/>
      <c r="W56" s="68"/>
      <c r="X56" s="26"/>
      <c r="Y56" s="35"/>
      <c r="Z56" s="35"/>
      <c r="AA56" s="43"/>
      <c r="AB56" s="40"/>
      <c r="AC56" s="40"/>
      <c r="AD56" s="23"/>
      <c r="AE56" s="23"/>
      <c r="AF56" s="4"/>
      <c r="AG56" s="4"/>
    </row>
    <row r="57" spans="1:33" s="21" customFormat="1">
      <c r="A57" s="25"/>
      <c r="B57" s="24">
        <f t="shared" si="0"/>
        <v>46</v>
      </c>
      <c r="C57" s="15"/>
      <c r="D57" s="5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59"/>
      <c r="V57" s="34"/>
      <c r="W57" s="70"/>
      <c r="X57" s="26"/>
      <c r="Y57" s="35"/>
      <c r="Z57" s="35"/>
      <c r="AA57" s="43"/>
      <c r="AB57" s="40"/>
      <c r="AC57" s="40"/>
      <c r="AD57" s="23"/>
      <c r="AE57" s="23"/>
      <c r="AF57" s="4"/>
      <c r="AG57" s="4"/>
    </row>
    <row r="58" spans="1:33" s="21" customFormat="1">
      <c r="A58" s="25"/>
      <c r="B58" s="24">
        <f t="shared" si="0"/>
        <v>47</v>
      </c>
      <c r="C58" s="15"/>
      <c r="D58" s="5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59"/>
      <c r="V58" s="26"/>
      <c r="W58" s="68"/>
      <c r="X58" s="26"/>
      <c r="Y58" s="35"/>
      <c r="Z58" s="35"/>
      <c r="AA58" s="43"/>
      <c r="AB58" s="40"/>
      <c r="AC58" s="40"/>
      <c r="AD58" s="23"/>
      <c r="AE58" s="23"/>
      <c r="AF58" s="4"/>
      <c r="AG58" s="4"/>
    </row>
    <row r="59" spans="1:33" s="21" customFormat="1">
      <c r="A59" s="25"/>
      <c r="B59" s="24">
        <f t="shared" si="0"/>
        <v>48</v>
      </c>
      <c r="C59" s="71"/>
      <c r="D59" s="5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59"/>
      <c r="V59" s="26"/>
      <c r="W59" s="26"/>
      <c r="X59" s="26"/>
      <c r="Y59" s="35"/>
      <c r="Z59" s="35"/>
      <c r="AA59" s="43"/>
      <c r="AB59" s="40"/>
      <c r="AC59" s="40"/>
      <c r="AD59" s="23"/>
      <c r="AE59" s="23"/>
      <c r="AF59" s="4"/>
      <c r="AG59" s="4"/>
    </row>
    <row r="60" spans="1:33" s="21" customFormat="1">
      <c r="A60" s="25"/>
      <c r="B60" s="24">
        <f t="shared" si="0"/>
        <v>49</v>
      </c>
      <c r="C60" s="71"/>
      <c r="D60" s="5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59"/>
      <c r="V60" s="72"/>
      <c r="W60" s="26"/>
      <c r="X60" s="26"/>
      <c r="Y60" s="35"/>
      <c r="Z60" s="35"/>
      <c r="AA60" s="43"/>
      <c r="AB60" s="40"/>
      <c r="AC60" s="40"/>
      <c r="AD60" s="23"/>
      <c r="AE60" s="23"/>
      <c r="AF60" s="4"/>
      <c r="AG60" s="4"/>
    </row>
    <row r="61" spans="1:33" s="21" customFormat="1">
      <c r="A61" s="25"/>
      <c r="B61" s="24">
        <f t="shared" si="0"/>
        <v>50</v>
      </c>
      <c r="C61" s="71"/>
      <c r="D61" s="5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59"/>
      <c r="V61" s="26"/>
      <c r="W61" s="26"/>
      <c r="X61" s="26"/>
      <c r="Y61" s="35"/>
      <c r="Z61" s="35"/>
      <c r="AA61" s="43"/>
      <c r="AB61" s="40"/>
      <c r="AC61" s="40"/>
      <c r="AD61" s="23"/>
      <c r="AE61" s="23"/>
      <c r="AF61" s="4"/>
      <c r="AG61" s="4"/>
    </row>
    <row r="62" spans="1:33" s="21" customFormat="1">
      <c r="A62" s="25"/>
      <c r="B62" s="24">
        <f t="shared" si="0"/>
        <v>51</v>
      </c>
      <c r="C62" s="71"/>
      <c r="D62" s="5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59"/>
      <c r="V62" s="72"/>
      <c r="W62" s="26"/>
      <c r="X62" s="26"/>
      <c r="Y62" s="35"/>
      <c r="Z62" s="35"/>
      <c r="AA62" s="43"/>
      <c r="AB62" s="40"/>
      <c r="AC62" s="40"/>
      <c r="AD62" s="23"/>
      <c r="AE62" s="23"/>
      <c r="AF62" s="4"/>
      <c r="AG62" s="4"/>
    </row>
    <row r="63" spans="1:33" s="21" customFormat="1">
      <c r="A63" s="25"/>
      <c r="B63" s="24">
        <f t="shared" si="0"/>
        <v>52</v>
      </c>
      <c r="C63" s="34"/>
      <c r="D63" s="5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59"/>
      <c r="V63" s="72"/>
      <c r="W63" s="68"/>
      <c r="X63" s="26"/>
      <c r="Y63" s="35"/>
      <c r="Z63" s="35"/>
      <c r="AA63" s="43"/>
      <c r="AB63" s="40"/>
      <c r="AC63" s="40"/>
      <c r="AD63" s="23"/>
      <c r="AE63" s="23"/>
      <c r="AF63" s="4"/>
      <c r="AG63" s="4"/>
    </row>
    <row r="64" spans="1:33" s="21" customFormat="1">
      <c r="A64" s="25"/>
      <c r="B64" s="24">
        <f t="shared" si="0"/>
        <v>53</v>
      </c>
      <c r="C64" s="15"/>
      <c r="D64" s="5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59"/>
      <c r="V64" s="34"/>
      <c r="W64" s="70"/>
      <c r="X64" s="26"/>
      <c r="Y64" s="35"/>
      <c r="Z64" s="35"/>
      <c r="AA64" s="43"/>
      <c r="AB64" s="40"/>
      <c r="AC64" s="40"/>
      <c r="AD64" s="23"/>
      <c r="AE64" s="23"/>
      <c r="AF64" s="4"/>
      <c r="AG64" s="4"/>
    </row>
    <row r="65" spans="1:33" s="21" customFormat="1">
      <c r="A65" s="25"/>
      <c r="B65" s="24">
        <f t="shared" si="0"/>
        <v>54</v>
      </c>
      <c r="C65" s="15"/>
      <c r="D65" s="5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59"/>
      <c r="V65" s="34"/>
      <c r="W65" s="70"/>
      <c r="X65" s="26"/>
      <c r="Y65" s="35"/>
      <c r="Z65" s="35"/>
      <c r="AA65" s="43"/>
      <c r="AB65" s="40"/>
      <c r="AC65" s="40"/>
      <c r="AD65" s="23"/>
      <c r="AE65" s="23"/>
      <c r="AF65" s="4"/>
      <c r="AG65" s="4"/>
    </row>
    <row r="66" spans="1:33" s="21" customFormat="1">
      <c r="A66" s="25"/>
      <c r="B66" s="24">
        <f t="shared" si="0"/>
        <v>55</v>
      </c>
      <c r="C66" s="15"/>
      <c r="D66" s="5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59"/>
      <c r="V66" s="34"/>
      <c r="W66" s="70"/>
      <c r="X66" s="26"/>
      <c r="Y66" s="35"/>
      <c r="Z66" s="35"/>
      <c r="AA66" s="43"/>
      <c r="AB66" s="40"/>
      <c r="AC66" s="40"/>
      <c r="AD66" s="23"/>
      <c r="AE66" s="23"/>
      <c r="AF66" s="4"/>
      <c r="AG66" s="4"/>
    </row>
    <row r="67" spans="1:33" s="21" customFormat="1">
      <c r="A67" s="25"/>
      <c r="B67" s="24">
        <f t="shared" si="0"/>
        <v>56</v>
      </c>
      <c r="C67" s="15"/>
      <c r="D67" s="5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59"/>
      <c r="V67" s="26"/>
      <c r="W67" s="68"/>
      <c r="X67" s="26"/>
      <c r="Y67" s="35"/>
      <c r="Z67" s="35"/>
      <c r="AA67" s="43"/>
      <c r="AB67" s="40"/>
      <c r="AC67" s="40"/>
      <c r="AD67" s="23"/>
      <c r="AE67" s="23"/>
      <c r="AF67" s="4"/>
      <c r="AG67" s="4"/>
    </row>
    <row r="68" spans="1:33" s="21" customFormat="1">
      <c r="A68" s="25"/>
      <c r="B68" s="24">
        <f t="shared" si="0"/>
        <v>57</v>
      </c>
      <c r="C68" s="71"/>
      <c r="D68" s="5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59"/>
      <c r="V68" s="26"/>
      <c r="W68" s="26"/>
      <c r="X68" s="26"/>
      <c r="Y68" s="35"/>
      <c r="Z68" s="35"/>
      <c r="AA68" s="43"/>
      <c r="AB68" s="40"/>
      <c r="AC68" s="40"/>
      <c r="AD68" s="23"/>
      <c r="AE68" s="23"/>
      <c r="AF68" s="4"/>
      <c r="AG68" s="4"/>
    </row>
    <row r="69" spans="1:33" s="21" customFormat="1">
      <c r="A69" s="25"/>
      <c r="B69" s="24">
        <f t="shared" si="0"/>
        <v>58</v>
      </c>
      <c r="C69" s="71"/>
      <c r="D69" s="5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59"/>
      <c r="V69" s="72"/>
      <c r="W69" s="26"/>
      <c r="X69" s="26"/>
      <c r="Y69" s="35"/>
      <c r="Z69" s="35"/>
      <c r="AA69" s="43"/>
      <c r="AB69" s="40"/>
      <c r="AC69" s="40"/>
      <c r="AD69" s="23"/>
      <c r="AE69" s="23"/>
      <c r="AF69" s="4"/>
      <c r="AG69" s="4"/>
    </row>
    <row r="70" spans="1:33" s="21" customFormat="1">
      <c r="A70" s="25"/>
      <c r="B70" s="24">
        <f t="shared" si="0"/>
        <v>59</v>
      </c>
      <c r="C70" s="71"/>
      <c r="D70" s="5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59"/>
      <c r="V70" s="26"/>
      <c r="W70" s="26"/>
      <c r="X70" s="26"/>
      <c r="Y70" s="35"/>
      <c r="Z70" s="35"/>
      <c r="AA70" s="43"/>
      <c r="AB70" s="40"/>
      <c r="AC70" s="40"/>
      <c r="AD70" s="23"/>
      <c r="AE70" s="23"/>
      <c r="AF70" s="4"/>
      <c r="AG70" s="4"/>
    </row>
    <row r="71" spans="1:33" s="21" customFormat="1">
      <c r="A71" s="25"/>
      <c r="B71" s="24">
        <f t="shared" si="0"/>
        <v>60</v>
      </c>
      <c r="C71" s="71"/>
      <c r="D71" s="5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59"/>
      <c r="V71" s="72"/>
      <c r="W71" s="26"/>
      <c r="X71" s="26"/>
      <c r="Y71" s="35"/>
      <c r="Z71" s="35"/>
      <c r="AA71" s="43"/>
      <c r="AB71" s="40"/>
      <c r="AC71" s="40"/>
      <c r="AD71" s="23"/>
      <c r="AE71" s="23"/>
      <c r="AF71" s="4"/>
      <c r="AG71" s="4"/>
    </row>
    <row r="72" spans="1:33" s="21" customFormat="1">
      <c r="A72" s="25"/>
      <c r="B72" s="24">
        <f t="shared" si="0"/>
        <v>61</v>
      </c>
      <c r="C72" s="34"/>
      <c r="D72" s="5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59"/>
      <c r="V72" s="72"/>
      <c r="W72" s="68"/>
      <c r="X72" s="26"/>
      <c r="Y72" s="35"/>
      <c r="Z72" s="35"/>
      <c r="AA72" s="43"/>
      <c r="AB72" s="40"/>
      <c r="AC72" s="40"/>
      <c r="AD72" s="23"/>
      <c r="AE72" s="23"/>
      <c r="AF72" s="4"/>
      <c r="AG72" s="4"/>
    </row>
    <row r="73" spans="1:33" s="21" customFormat="1">
      <c r="A73" s="25"/>
      <c r="B73" s="24">
        <f t="shared" si="0"/>
        <v>62</v>
      </c>
      <c r="C73" s="71"/>
      <c r="D73" s="5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59"/>
      <c r="V73" s="26"/>
      <c r="W73" s="26"/>
      <c r="X73" s="26"/>
      <c r="Y73" s="35"/>
      <c r="Z73" s="35"/>
      <c r="AA73" s="43"/>
      <c r="AB73" s="40"/>
      <c r="AC73" s="40"/>
      <c r="AD73" s="23"/>
      <c r="AE73" s="23"/>
      <c r="AF73" s="4"/>
      <c r="AG73" s="4"/>
    </row>
    <row r="74" spans="1:33" s="21" customFormat="1">
      <c r="A74" s="25"/>
      <c r="B74" s="24">
        <f t="shared" si="0"/>
        <v>63</v>
      </c>
      <c r="C74" s="71"/>
      <c r="D74" s="5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59"/>
      <c r="V74" s="72"/>
      <c r="W74" s="26"/>
      <c r="X74" s="26"/>
      <c r="Y74" s="35"/>
      <c r="Z74" s="35"/>
      <c r="AA74" s="43"/>
      <c r="AB74" s="40"/>
      <c r="AC74" s="40"/>
      <c r="AD74" s="23"/>
      <c r="AE74" s="23"/>
      <c r="AF74" s="4"/>
      <c r="AG74" s="4"/>
    </row>
    <row r="75" spans="1:33" s="21" customFormat="1">
      <c r="A75" s="25"/>
      <c r="B75" s="24">
        <f t="shared" si="0"/>
        <v>64</v>
      </c>
      <c r="C75" s="34"/>
      <c r="D75" s="5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59"/>
      <c r="V75" s="72"/>
      <c r="W75" s="68"/>
      <c r="X75" s="26"/>
      <c r="Y75" s="35"/>
      <c r="Z75" s="35"/>
      <c r="AA75" s="43"/>
      <c r="AB75" s="40"/>
      <c r="AC75" s="40"/>
      <c r="AD75" s="23"/>
      <c r="AE75" s="23"/>
      <c r="AF75" s="4"/>
      <c r="AG75" s="4"/>
    </row>
    <row r="76" spans="1:33" s="21" customFormat="1">
      <c r="A76" s="25"/>
      <c r="B76" s="24">
        <f t="shared" ref="B76:B115" si="1">ROW()-11</f>
        <v>65</v>
      </c>
      <c r="C76" s="15"/>
      <c r="D76" s="5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59"/>
      <c r="V76" s="72"/>
      <c r="W76" s="26"/>
      <c r="X76" s="26"/>
      <c r="Y76" s="35"/>
      <c r="Z76" s="35"/>
      <c r="AA76" s="43"/>
      <c r="AB76" s="40"/>
      <c r="AC76" s="40"/>
      <c r="AD76" s="23"/>
      <c r="AE76" s="23"/>
      <c r="AF76" s="4"/>
      <c r="AG76" s="4"/>
    </row>
    <row r="77" spans="1:33" s="21" customFormat="1">
      <c r="A77" s="25"/>
      <c r="B77" s="24">
        <f t="shared" si="1"/>
        <v>66</v>
      </c>
      <c r="C77" s="15"/>
      <c r="D77" s="5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59"/>
      <c r="V77" s="72"/>
      <c r="W77" s="68"/>
      <c r="X77" s="26"/>
      <c r="Y77" s="35"/>
      <c r="Z77" s="35"/>
      <c r="AA77" s="43"/>
      <c r="AB77" s="40"/>
      <c r="AC77" s="40"/>
      <c r="AD77" s="23"/>
      <c r="AE77" s="23"/>
      <c r="AF77" s="4"/>
      <c r="AG77" s="4"/>
    </row>
    <row r="78" spans="1:33" s="21" customFormat="1">
      <c r="A78" s="25"/>
      <c r="B78" s="24">
        <f t="shared" si="1"/>
        <v>67</v>
      </c>
      <c r="C78" s="15"/>
      <c r="D78" s="5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59"/>
      <c r="V78" s="34"/>
      <c r="W78" s="68"/>
      <c r="X78" s="26"/>
      <c r="Y78" s="35"/>
      <c r="Z78" s="35"/>
      <c r="AA78" s="43"/>
      <c r="AB78" s="40"/>
      <c r="AC78" s="40"/>
      <c r="AD78" s="23"/>
      <c r="AE78" s="23"/>
      <c r="AF78" s="4"/>
      <c r="AG78" s="4"/>
    </row>
    <row r="79" spans="1:33" s="21" customFormat="1">
      <c r="A79" s="25"/>
      <c r="B79" s="24">
        <f t="shared" si="1"/>
        <v>68</v>
      </c>
      <c r="C79" s="15"/>
      <c r="D79" s="5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59"/>
      <c r="V79" s="34"/>
      <c r="W79" s="68"/>
      <c r="X79" s="26"/>
      <c r="Y79" s="35"/>
      <c r="Z79" s="35"/>
      <c r="AA79" s="43"/>
      <c r="AB79" s="40"/>
      <c r="AC79" s="40"/>
      <c r="AD79" s="23"/>
      <c r="AE79" s="23"/>
      <c r="AF79" s="4"/>
      <c r="AG79" s="4"/>
    </row>
    <row r="80" spans="1:33" s="21" customFormat="1">
      <c r="A80" s="25"/>
      <c r="B80" s="24">
        <f t="shared" si="1"/>
        <v>69</v>
      </c>
      <c r="C80" s="15"/>
      <c r="D80" s="5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59"/>
      <c r="V80" s="34"/>
      <c r="W80" s="68"/>
      <c r="X80" s="26"/>
      <c r="Y80" s="35"/>
      <c r="Z80" s="35"/>
      <c r="AA80" s="43"/>
      <c r="AB80" s="40"/>
      <c r="AC80" s="40"/>
      <c r="AD80" s="23"/>
      <c r="AE80" s="23"/>
      <c r="AF80" s="4"/>
      <c r="AG80" s="4"/>
    </row>
    <row r="81" spans="1:33" s="21" customFormat="1">
      <c r="A81" s="25"/>
      <c r="B81" s="24">
        <f t="shared" si="1"/>
        <v>70</v>
      </c>
      <c r="C81" s="15"/>
      <c r="D81" s="5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59"/>
      <c r="V81" s="34"/>
      <c r="W81" s="68"/>
      <c r="X81" s="26"/>
      <c r="Y81" s="35"/>
      <c r="Z81" s="35"/>
      <c r="AA81" s="43"/>
      <c r="AB81" s="40"/>
      <c r="AC81" s="40"/>
      <c r="AD81" s="23"/>
      <c r="AE81" s="23"/>
      <c r="AF81" s="4"/>
      <c r="AG81" s="4"/>
    </row>
    <row r="82" spans="1:33" s="21" customFormat="1">
      <c r="A82" s="25"/>
      <c r="B82" s="24">
        <f t="shared" si="1"/>
        <v>71</v>
      </c>
      <c r="C82" s="15"/>
      <c r="D82" s="5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59"/>
      <c r="V82" s="34"/>
      <c r="W82" s="68"/>
      <c r="X82" s="26"/>
      <c r="Y82" s="35"/>
      <c r="Z82" s="35"/>
      <c r="AA82" s="43"/>
      <c r="AB82" s="40"/>
      <c r="AC82" s="40"/>
      <c r="AD82" s="23"/>
      <c r="AE82" s="23"/>
      <c r="AF82" s="4"/>
      <c r="AG82" s="4"/>
    </row>
    <row r="83" spans="1:33" s="21" customFormat="1">
      <c r="A83" s="25"/>
      <c r="B83" s="24">
        <f t="shared" si="1"/>
        <v>72</v>
      </c>
      <c r="C83" s="15"/>
      <c r="D83" s="5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59"/>
      <c r="V83" s="34"/>
      <c r="W83" s="68"/>
      <c r="X83" s="26"/>
      <c r="Y83" s="35"/>
      <c r="Z83" s="35"/>
      <c r="AA83" s="43"/>
      <c r="AB83" s="40"/>
      <c r="AC83" s="40"/>
      <c r="AD83" s="23"/>
      <c r="AE83" s="23"/>
      <c r="AF83" s="4"/>
      <c r="AG83" s="4"/>
    </row>
    <row r="84" spans="1:33" s="21" customFormat="1">
      <c r="A84" s="25"/>
      <c r="B84" s="24">
        <f t="shared" si="1"/>
        <v>73</v>
      </c>
      <c r="C84" s="15"/>
      <c r="D84" s="5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59"/>
      <c r="V84" s="34"/>
      <c r="W84" s="68"/>
      <c r="X84" s="26"/>
      <c r="Y84" s="35"/>
      <c r="Z84" s="35"/>
      <c r="AA84" s="43"/>
      <c r="AB84" s="40"/>
      <c r="AC84" s="40"/>
      <c r="AD84" s="23"/>
      <c r="AE84" s="23"/>
      <c r="AF84" s="4"/>
      <c r="AG84" s="4"/>
    </row>
    <row r="85" spans="1:33" s="21" customFormat="1">
      <c r="A85" s="25"/>
      <c r="B85" s="24">
        <f t="shared" si="1"/>
        <v>74</v>
      </c>
      <c r="C85" s="15"/>
      <c r="D85" s="5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59"/>
      <c r="V85" s="34"/>
      <c r="W85" s="68"/>
      <c r="X85" s="26"/>
      <c r="Y85" s="35"/>
      <c r="Z85" s="35"/>
      <c r="AA85" s="43"/>
      <c r="AB85" s="40"/>
      <c r="AC85" s="40"/>
      <c r="AD85" s="23"/>
      <c r="AE85" s="23"/>
      <c r="AF85" s="4"/>
      <c r="AG85" s="4"/>
    </row>
    <row r="86" spans="1:33" s="21" customFormat="1">
      <c r="A86" s="25"/>
      <c r="B86" s="24">
        <f t="shared" si="1"/>
        <v>75</v>
      </c>
      <c r="C86" s="15"/>
      <c r="D86" s="5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59"/>
      <c r="V86" s="34"/>
      <c r="W86" s="68"/>
      <c r="X86" s="26"/>
      <c r="Y86" s="35"/>
      <c r="Z86" s="35"/>
      <c r="AA86" s="43"/>
      <c r="AB86" s="40"/>
      <c r="AC86" s="40"/>
      <c r="AD86" s="23"/>
      <c r="AE86" s="23"/>
      <c r="AF86" s="4"/>
      <c r="AG86" s="4"/>
    </row>
    <row r="87" spans="1:33" s="21" customFormat="1">
      <c r="A87" s="25"/>
      <c r="B87" s="24">
        <f t="shared" si="1"/>
        <v>76</v>
      </c>
      <c r="C87" s="15"/>
      <c r="D87" s="5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59"/>
      <c r="V87" s="34"/>
      <c r="W87" s="68"/>
      <c r="X87" s="26"/>
      <c r="Y87" s="35"/>
      <c r="Z87" s="35"/>
      <c r="AA87" s="43"/>
      <c r="AB87" s="40"/>
      <c r="AC87" s="40"/>
      <c r="AD87" s="23"/>
      <c r="AE87" s="23"/>
      <c r="AF87" s="4"/>
      <c r="AG87" s="4"/>
    </row>
    <row r="88" spans="1:33" s="21" customFormat="1">
      <c r="A88" s="25"/>
      <c r="B88" s="24">
        <f t="shared" si="1"/>
        <v>77</v>
      </c>
      <c r="C88" s="15"/>
      <c r="D88" s="5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59"/>
      <c r="V88" s="34"/>
      <c r="W88" s="68"/>
      <c r="X88" s="26"/>
      <c r="Y88" s="35"/>
      <c r="Z88" s="35"/>
      <c r="AA88" s="43"/>
      <c r="AB88" s="40"/>
      <c r="AC88" s="40"/>
      <c r="AD88" s="23"/>
      <c r="AE88" s="23"/>
      <c r="AF88" s="4"/>
      <c r="AG88" s="4"/>
    </row>
    <row r="89" spans="1:33" s="21" customFormat="1">
      <c r="A89" s="25"/>
      <c r="B89" s="24">
        <f t="shared" si="1"/>
        <v>78</v>
      </c>
      <c r="C89" s="15"/>
      <c r="D89" s="5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59"/>
      <c r="V89" s="34"/>
      <c r="W89" s="68"/>
      <c r="X89" s="26"/>
      <c r="Y89" s="35"/>
      <c r="Z89" s="35"/>
      <c r="AA89" s="43"/>
      <c r="AB89" s="40"/>
      <c r="AC89" s="40"/>
      <c r="AD89" s="23"/>
      <c r="AE89" s="23"/>
      <c r="AF89" s="4"/>
      <c r="AG89" s="4"/>
    </row>
    <row r="90" spans="1:33" s="21" customFormat="1">
      <c r="A90" s="25"/>
      <c r="B90" s="24">
        <f t="shared" si="1"/>
        <v>79</v>
      </c>
      <c r="C90" s="15"/>
      <c r="D90" s="5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59"/>
      <c r="V90" s="34"/>
      <c r="W90" s="68"/>
      <c r="X90" s="26"/>
      <c r="Y90" s="35"/>
      <c r="Z90" s="35"/>
      <c r="AA90" s="43"/>
      <c r="AB90" s="40"/>
      <c r="AC90" s="40"/>
      <c r="AD90" s="23"/>
      <c r="AE90" s="23"/>
      <c r="AF90" s="4"/>
      <c r="AG90" s="4"/>
    </row>
    <row r="91" spans="1:33" s="21" customFormat="1">
      <c r="A91" s="25"/>
      <c r="B91" s="24">
        <f t="shared" si="1"/>
        <v>80</v>
      </c>
      <c r="C91" s="15"/>
      <c r="D91" s="5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59"/>
      <c r="V91" s="34"/>
      <c r="W91" s="68"/>
      <c r="X91" s="26"/>
      <c r="Y91" s="35"/>
      <c r="Z91" s="35"/>
      <c r="AA91" s="43"/>
      <c r="AB91" s="40"/>
      <c r="AC91" s="40"/>
      <c r="AD91" s="23"/>
      <c r="AE91" s="23"/>
      <c r="AF91" s="4"/>
      <c r="AG91" s="4"/>
    </row>
    <row r="92" spans="1:33" s="21" customFormat="1">
      <c r="A92" s="25"/>
      <c r="B92" s="24">
        <f t="shared" si="1"/>
        <v>81</v>
      </c>
      <c r="C92" s="15"/>
      <c r="D92" s="5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59"/>
      <c r="V92" s="34"/>
      <c r="W92" s="68"/>
      <c r="X92" s="26"/>
      <c r="Y92" s="35"/>
      <c r="Z92" s="35"/>
      <c r="AA92" s="43"/>
      <c r="AB92" s="40"/>
      <c r="AC92" s="40"/>
      <c r="AD92" s="23"/>
      <c r="AE92" s="23"/>
      <c r="AF92" s="4"/>
      <c r="AG92" s="4"/>
    </row>
    <row r="93" spans="1:33" s="21" customFormat="1">
      <c r="A93" s="25"/>
      <c r="B93" s="24">
        <f t="shared" si="1"/>
        <v>82</v>
      </c>
      <c r="C93" s="15"/>
      <c r="D93" s="5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59"/>
      <c r="V93" s="34"/>
      <c r="W93" s="68"/>
      <c r="X93" s="26"/>
      <c r="Y93" s="35"/>
      <c r="Z93" s="35"/>
      <c r="AA93" s="43"/>
      <c r="AB93" s="40"/>
      <c r="AC93" s="40"/>
      <c r="AD93" s="23"/>
      <c r="AE93" s="23"/>
      <c r="AF93" s="4"/>
      <c r="AG93" s="4"/>
    </row>
    <row r="94" spans="1:33" s="21" customFormat="1">
      <c r="A94" s="25"/>
      <c r="B94" s="24">
        <f t="shared" si="1"/>
        <v>83</v>
      </c>
      <c r="C94" s="15"/>
      <c r="D94" s="5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59"/>
      <c r="V94" s="34"/>
      <c r="W94" s="68"/>
      <c r="X94" s="26"/>
      <c r="Y94" s="35"/>
      <c r="Z94" s="35"/>
      <c r="AA94" s="43"/>
      <c r="AB94" s="40"/>
      <c r="AC94" s="40"/>
      <c r="AD94" s="23"/>
      <c r="AE94" s="23"/>
      <c r="AF94" s="4"/>
      <c r="AG94" s="4"/>
    </row>
    <row r="95" spans="1:33" s="21" customFormat="1">
      <c r="A95" s="25"/>
      <c r="B95" s="24">
        <f t="shared" si="1"/>
        <v>84</v>
      </c>
      <c r="C95" s="15"/>
      <c r="D95" s="5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59"/>
      <c r="V95" s="34"/>
      <c r="W95" s="68"/>
      <c r="X95" s="26"/>
      <c r="Y95" s="35"/>
      <c r="Z95" s="35"/>
      <c r="AA95" s="43"/>
      <c r="AB95" s="40"/>
      <c r="AC95" s="40"/>
      <c r="AD95" s="23"/>
      <c r="AE95" s="23"/>
      <c r="AF95" s="4"/>
      <c r="AG95" s="4"/>
    </row>
    <row r="96" spans="1:33" s="21" customFormat="1">
      <c r="A96" s="25"/>
      <c r="B96" s="24">
        <f t="shared" si="1"/>
        <v>85</v>
      </c>
      <c r="C96" s="15"/>
      <c r="D96" s="5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59"/>
      <c r="V96" s="34"/>
      <c r="W96" s="68"/>
      <c r="X96" s="26"/>
      <c r="Y96" s="35"/>
      <c r="Z96" s="35"/>
      <c r="AA96" s="43"/>
      <c r="AB96" s="40"/>
      <c r="AC96" s="40"/>
      <c r="AD96" s="23"/>
      <c r="AE96" s="23"/>
      <c r="AF96" s="4"/>
      <c r="AG96" s="4"/>
    </row>
    <row r="97" spans="1:33" s="21" customFormat="1">
      <c r="A97" s="25"/>
      <c r="B97" s="24">
        <f t="shared" si="1"/>
        <v>86</v>
      </c>
      <c r="C97" s="15"/>
      <c r="D97" s="5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59"/>
      <c r="V97" s="34"/>
      <c r="W97" s="68"/>
      <c r="X97" s="26"/>
      <c r="Y97" s="35"/>
      <c r="Z97" s="35"/>
      <c r="AA97" s="43"/>
      <c r="AB97" s="40"/>
      <c r="AC97" s="40"/>
      <c r="AD97" s="23"/>
      <c r="AE97" s="23"/>
      <c r="AF97" s="4"/>
      <c r="AG97" s="4"/>
    </row>
    <row r="98" spans="1:33" s="21" customFormat="1">
      <c r="A98" s="25"/>
      <c r="B98" s="24">
        <f t="shared" si="1"/>
        <v>87</v>
      </c>
      <c r="C98" s="15"/>
      <c r="D98" s="5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59"/>
      <c r="V98" s="34"/>
      <c r="W98" s="68"/>
      <c r="X98" s="26"/>
      <c r="Y98" s="35"/>
      <c r="Z98" s="35"/>
      <c r="AA98" s="43"/>
      <c r="AB98" s="40"/>
      <c r="AC98" s="40"/>
      <c r="AD98" s="23"/>
      <c r="AE98" s="23"/>
      <c r="AF98" s="4"/>
      <c r="AG98" s="4"/>
    </row>
    <row r="99" spans="1:33" s="21" customFormat="1">
      <c r="A99" s="25"/>
      <c r="B99" s="24">
        <f t="shared" si="1"/>
        <v>88</v>
      </c>
      <c r="C99" s="15"/>
      <c r="D99" s="5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59"/>
      <c r="V99" s="34"/>
      <c r="W99" s="68"/>
      <c r="X99" s="26"/>
      <c r="Y99" s="35"/>
      <c r="Z99" s="35"/>
      <c r="AA99" s="43"/>
      <c r="AB99" s="40"/>
      <c r="AC99" s="40"/>
      <c r="AD99" s="23"/>
      <c r="AE99" s="23"/>
      <c r="AF99" s="4"/>
      <c r="AG99" s="4"/>
    </row>
    <row r="100" spans="1:33" s="21" customFormat="1">
      <c r="A100" s="25"/>
      <c r="B100" s="24">
        <f t="shared" si="1"/>
        <v>89</v>
      </c>
      <c r="C100" s="15"/>
      <c r="D100" s="5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59"/>
      <c r="V100" s="34"/>
      <c r="W100" s="68"/>
      <c r="X100" s="26"/>
      <c r="Y100" s="35"/>
      <c r="Z100" s="35"/>
      <c r="AA100" s="43"/>
      <c r="AB100" s="40"/>
      <c r="AC100" s="40"/>
      <c r="AD100" s="23"/>
      <c r="AE100" s="23"/>
      <c r="AF100" s="4"/>
      <c r="AG100" s="4"/>
    </row>
    <row r="101" spans="1:33" s="21" customFormat="1">
      <c r="A101" s="25"/>
      <c r="B101" s="24">
        <f t="shared" si="1"/>
        <v>90</v>
      </c>
      <c r="C101" s="15"/>
      <c r="D101" s="5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59"/>
      <c r="V101" s="34"/>
      <c r="W101" s="68"/>
      <c r="X101" s="26"/>
      <c r="Y101" s="35"/>
      <c r="Z101" s="35"/>
      <c r="AA101" s="43"/>
      <c r="AB101" s="40"/>
      <c r="AC101" s="40"/>
      <c r="AD101" s="23"/>
      <c r="AE101" s="23"/>
      <c r="AF101" s="4"/>
      <c r="AG101" s="4"/>
    </row>
    <row r="102" spans="1:33" s="21" customFormat="1">
      <c r="A102" s="25"/>
      <c r="B102" s="24">
        <f t="shared" si="1"/>
        <v>91</v>
      </c>
      <c r="C102" s="15"/>
      <c r="D102" s="5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59"/>
      <c r="V102" s="34"/>
      <c r="W102" s="68"/>
      <c r="X102" s="26"/>
      <c r="Y102" s="35"/>
      <c r="Z102" s="35"/>
      <c r="AA102" s="43"/>
      <c r="AB102" s="40"/>
      <c r="AC102" s="40"/>
      <c r="AD102" s="23"/>
      <c r="AE102" s="23"/>
      <c r="AF102" s="4"/>
      <c r="AG102" s="4"/>
    </row>
    <row r="103" spans="1:33" s="21" customFormat="1">
      <c r="A103" s="25"/>
      <c r="B103" s="24">
        <f t="shared" si="1"/>
        <v>92</v>
      </c>
      <c r="C103" s="15"/>
      <c r="D103" s="5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59"/>
      <c r="V103" s="34"/>
      <c r="W103" s="68"/>
      <c r="X103" s="26"/>
      <c r="Y103" s="35"/>
      <c r="Z103" s="35"/>
      <c r="AA103" s="43"/>
      <c r="AB103" s="40"/>
      <c r="AC103" s="40"/>
      <c r="AD103" s="23"/>
      <c r="AE103" s="23"/>
      <c r="AF103" s="4"/>
      <c r="AG103" s="4"/>
    </row>
    <row r="104" spans="1:33" s="21" customFormat="1">
      <c r="A104" s="25"/>
      <c r="B104" s="24">
        <f t="shared" si="1"/>
        <v>93</v>
      </c>
      <c r="C104" s="15"/>
      <c r="D104" s="5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59"/>
      <c r="V104" s="34"/>
      <c r="W104" s="68"/>
      <c r="X104" s="26"/>
      <c r="Y104" s="35"/>
      <c r="Z104" s="35"/>
      <c r="AA104" s="43"/>
      <c r="AB104" s="40"/>
      <c r="AC104" s="40"/>
      <c r="AD104" s="23"/>
      <c r="AE104" s="23"/>
      <c r="AF104" s="4"/>
      <c r="AG104" s="4"/>
    </row>
    <row r="105" spans="1:33" s="21" customFormat="1">
      <c r="A105" s="25"/>
      <c r="B105" s="24">
        <f t="shared" si="1"/>
        <v>94</v>
      </c>
      <c r="C105" s="15"/>
      <c r="D105" s="5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59"/>
      <c r="V105" s="34"/>
      <c r="W105" s="68"/>
      <c r="X105" s="26"/>
      <c r="Y105" s="35"/>
      <c r="Z105" s="35"/>
      <c r="AA105" s="43"/>
      <c r="AB105" s="40"/>
      <c r="AC105" s="40"/>
      <c r="AD105" s="23"/>
      <c r="AE105" s="23"/>
      <c r="AF105" s="4"/>
      <c r="AG105" s="4"/>
    </row>
    <row r="106" spans="1:33" s="23" customFormat="1">
      <c r="A106" s="22"/>
      <c r="B106" s="24">
        <f t="shared" si="1"/>
        <v>95</v>
      </c>
      <c r="C106" s="15"/>
      <c r="D106" s="72"/>
      <c r="E106" s="73"/>
      <c r="F106" s="73"/>
      <c r="G106" s="73"/>
      <c r="H106" s="73"/>
      <c r="I106" s="73"/>
      <c r="J106" s="73"/>
      <c r="K106" s="74"/>
      <c r="L106" s="73"/>
      <c r="M106" s="73"/>
      <c r="N106" s="73"/>
      <c r="O106" s="26"/>
      <c r="P106" s="73"/>
      <c r="Q106" s="73"/>
      <c r="R106" s="73"/>
      <c r="S106" s="72"/>
      <c r="T106" s="73"/>
      <c r="U106" s="73"/>
      <c r="V106" s="73"/>
      <c r="W106" s="26"/>
      <c r="X106" s="26"/>
      <c r="Y106" s="26"/>
      <c r="Z106" s="75"/>
      <c r="AA106" s="76"/>
      <c r="AB106" s="77"/>
      <c r="AC106" s="77"/>
      <c r="AF106" s="4"/>
      <c r="AG106" s="4"/>
    </row>
    <row r="107" spans="1:33" s="27" customFormat="1">
      <c r="A107" s="25"/>
      <c r="B107" s="24">
        <f t="shared" si="1"/>
        <v>96</v>
      </c>
      <c r="C107" s="15"/>
      <c r="D107" s="5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59"/>
      <c r="V107" s="68"/>
      <c r="W107" s="68"/>
      <c r="X107" s="26"/>
      <c r="Y107" s="35"/>
      <c r="Z107" s="35"/>
      <c r="AA107" s="43"/>
      <c r="AB107" s="40"/>
      <c r="AC107" s="40"/>
      <c r="AD107" s="23"/>
      <c r="AE107" s="23"/>
      <c r="AF107" s="4"/>
      <c r="AG107" s="4"/>
    </row>
    <row r="108" spans="1:33" s="27" customFormat="1">
      <c r="A108" s="25"/>
      <c r="B108" s="24">
        <f t="shared" si="1"/>
        <v>97</v>
      </c>
      <c r="C108" s="15"/>
      <c r="D108" s="72"/>
      <c r="E108" s="73"/>
      <c r="F108" s="73"/>
      <c r="G108" s="73"/>
      <c r="H108" s="73"/>
      <c r="I108" s="73"/>
      <c r="J108" s="73"/>
      <c r="K108" s="74"/>
      <c r="L108" s="73"/>
      <c r="M108" s="73"/>
      <c r="N108" s="73"/>
      <c r="O108" s="26"/>
      <c r="P108" s="73"/>
      <c r="Q108" s="73"/>
      <c r="R108" s="73"/>
      <c r="S108" s="72"/>
      <c r="T108" s="73"/>
      <c r="U108" s="73"/>
      <c r="V108" s="73"/>
      <c r="W108" s="26"/>
      <c r="X108" s="26"/>
      <c r="Y108" s="26"/>
      <c r="Z108" s="75"/>
      <c r="AA108" s="76"/>
      <c r="AB108" s="77"/>
      <c r="AC108" s="77"/>
      <c r="AD108" s="23"/>
      <c r="AE108" s="23"/>
      <c r="AF108" s="4"/>
      <c r="AG108" s="4"/>
    </row>
    <row r="109" spans="1:33" s="27" customFormat="1">
      <c r="A109" s="25"/>
      <c r="B109" s="24">
        <f t="shared" si="1"/>
        <v>98</v>
      </c>
      <c r="C109" s="15"/>
      <c r="D109" s="72"/>
      <c r="E109" s="73"/>
      <c r="F109" s="73"/>
      <c r="G109" s="73"/>
      <c r="H109" s="73"/>
      <c r="I109" s="73"/>
      <c r="J109" s="73"/>
      <c r="K109" s="74"/>
      <c r="L109" s="73"/>
      <c r="M109" s="73"/>
      <c r="N109" s="73"/>
      <c r="O109" s="26"/>
      <c r="P109" s="73"/>
      <c r="Q109" s="73"/>
      <c r="R109" s="73"/>
      <c r="S109" s="72"/>
      <c r="T109" s="73"/>
      <c r="U109" s="73"/>
      <c r="V109" s="73"/>
      <c r="W109" s="26"/>
      <c r="X109" s="26"/>
      <c r="Y109" s="26"/>
      <c r="Z109" s="75"/>
      <c r="AA109" s="76"/>
      <c r="AB109" s="77"/>
      <c r="AC109" s="77"/>
      <c r="AD109" s="23"/>
      <c r="AE109" s="23"/>
      <c r="AF109" s="4"/>
      <c r="AG109" s="4"/>
    </row>
    <row r="110" spans="1:33" s="27" customFormat="1">
      <c r="A110" s="25"/>
      <c r="B110" s="24">
        <f t="shared" si="1"/>
        <v>99</v>
      </c>
      <c r="C110" s="15"/>
      <c r="D110" s="72"/>
      <c r="E110" s="73"/>
      <c r="F110" s="73"/>
      <c r="G110" s="73"/>
      <c r="H110" s="73"/>
      <c r="I110" s="73"/>
      <c r="J110" s="73"/>
      <c r="K110" s="74"/>
      <c r="L110" s="73"/>
      <c r="M110" s="73"/>
      <c r="N110" s="73"/>
      <c r="O110" s="26"/>
      <c r="P110" s="73"/>
      <c r="Q110" s="73"/>
      <c r="R110" s="73"/>
      <c r="S110" s="72"/>
      <c r="T110" s="73"/>
      <c r="U110" s="73"/>
      <c r="V110" s="73"/>
      <c r="W110" s="26"/>
      <c r="X110" s="26"/>
      <c r="Y110" s="26"/>
      <c r="Z110" s="75"/>
      <c r="AA110" s="76"/>
      <c r="AB110" s="77"/>
      <c r="AC110" s="77"/>
      <c r="AD110" s="23"/>
      <c r="AE110" s="23"/>
      <c r="AF110" s="4"/>
      <c r="AG110" s="4"/>
    </row>
    <row r="111" spans="1:33" s="27" customFormat="1">
      <c r="A111" s="25"/>
      <c r="B111" s="24">
        <f t="shared" si="1"/>
        <v>100</v>
      </c>
      <c r="C111" s="15"/>
      <c r="D111" s="72"/>
      <c r="E111" s="73"/>
      <c r="F111" s="73"/>
      <c r="G111" s="73"/>
      <c r="H111" s="73"/>
      <c r="I111" s="73"/>
      <c r="J111" s="73"/>
      <c r="K111" s="74"/>
      <c r="L111" s="73"/>
      <c r="M111" s="73"/>
      <c r="N111" s="73"/>
      <c r="O111" s="26"/>
      <c r="P111" s="73"/>
      <c r="Q111" s="73"/>
      <c r="R111" s="73"/>
      <c r="S111" s="72"/>
      <c r="T111" s="73"/>
      <c r="U111" s="73"/>
      <c r="V111" s="73"/>
      <c r="W111" s="26"/>
      <c r="X111" s="26"/>
      <c r="Y111" s="26"/>
      <c r="Z111" s="75"/>
      <c r="AA111" s="76"/>
      <c r="AB111" s="77"/>
      <c r="AC111" s="77"/>
      <c r="AD111" s="23"/>
      <c r="AE111" s="23"/>
      <c r="AF111" s="4"/>
      <c r="AG111" s="4"/>
    </row>
    <row r="112" spans="1:33" s="27" customFormat="1">
      <c r="A112" s="25"/>
      <c r="B112" s="24">
        <f t="shared" si="1"/>
        <v>101</v>
      </c>
      <c r="C112" s="15"/>
      <c r="D112" s="72"/>
      <c r="E112" s="73"/>
      <c r="F112" s="73"/>
      <c r="G112" s="73"/>
      <c r="H112" s="73"/>
      <c r="I112" s="73"/>
      <c r="J112" s="73"/>
      <c r="K112" s="74"/>
      <c r="L112" s="73"/>
      <c r="M112" s="73"/>
      <c r="N112" s="73"/>
      <c r="O112" s="26"/>
      <c r="P112" s="73"/>
      <c r="Q112" s="73"/>
      <c r="R112" s="73"/>
      <c r="S112" s="72"/>
      <c r="T112" s="73"/>
      <c r="U112" s="73"/>
      <c r="V112" s="73"/>
      <c r="W112" s="26"/>
      <c r="X112" s="26"/>
      <c r="Y112" s="26"/>
      <c r="Z112" s="75"/>
      <c r="AA112" s="76"/>
      <c r="AB112" s="77"/>
      <c r="AC112" s="77"/>
      <c r="AD112" s="23"/>
      <c r="AE112" s="23"/>
      <c r="AF112" s="4"/>
      <c r="AG112" s="4"/>
    </row>
    <row r="113" spans="1:33" s="27" customFormat="1">
      <c r="A113" s="25"/>
      <c r="B113" s="24">
        <f t="shared" si="1"/>
        <v>102</v>
      </c>
      <c r="C113" s="15"/>
      <c r="D113" s="72"/>
      <c r="E113" s="73"/>
      <c r="F113" s="73"/>
      <c r="G113" s="73"/>
      <c r="H113" s="73"/>
      <c r="I113" s="73"/>
      <c r="J113" s="73"/>
      <c r="K113" s="74"/>
      <c r="L113" s="73"/>
      <c r="M113" s="73"/>
      <c r="N113" s="73"/>
      <c r="O113" s="26"/>
      <c r="P113" s="73"/>
      <c r="Q113" s="73"/>
      <c r="R113" s="73"/>
      <c r="S113" s="72"/>
      <c r="T113" s="73"/>
      <c r="U113" s="73"/>
      <c r="V113" s="73"/>
      <c r="W113" s="26"/>
      <c r="X113" s="26"/>
      <c r="Y113" s="26"/>
      <c r="Z113" s="75"/>
      <c r="AA113" s="76"/>
      <c r="AB113" s="77"/>
      <c r="AC113" s="77"/>
      <c r="AD113" s="23"/>
      <c r="AE113" s="23"/>
      <c r="AF113" s="4"/>
      <c r="AG113" s="4"/>
    </row>
    <row r="114" spans="1:33" s="27" customFormat="1">
      <c r="A114" s="25"/>
      <c r="B114" s="24">
        <f t="shared" si="1"/>
        <v>103</v>
      </c>
      <c r="C114" s="15"/>
      <c r="D114" s="72"/>
      <c r="E114" s="73"/>
      <c r="F114" s="73"/>
      <c r="G114" s="73"/>
      <c r="H114" s="73"/>
      <c r="I114" s="73"/>
      <c r="J114" s="73"/>
      <c r="K114" s="74"/>
      <c r="L114" s="73"/>
      <c r="M114" s="73"/>
      <c r="N114" s="73"/>
      <c r="O114" s="26"/>
      <c r="P114" s="73"/>
      <c r="Q114" s="73"/>
      <c r="R114" s="73"/>
      <c r="S114" s="72"/>
      <c r="T114" s="73"/>
      <c r="U114" s="73"/>
      <c r="V114" s="73"/>
      <c r="W114" s="26"/>
      <c r="X114" s="26"/>
      <c r="Y114" s="26"/>
      <c r="Z114" s="75"/>
      <c r="AA114" s="76"/>
      <c r="AB114" s="77"/>
      <c r="AC114" s="77"/>
      <c r="AD114" s="23"/>
      <c r="AE114" s="23"/>
      <c r="AF114" s="4"/>
      <c r="AG114" s="4"/>
    </row>
    <row r="115" spans="1:33" ht="12.6" thickBot="1">
      <c r="A115" s="78"/>
      <c r="B115" s="79">
        <f t="shared" si="1"/>
        <v>104</v>
      </c>
      <c r="C115" s="80"/>
      <c r="D115" s="81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3"/>
      <c r="V115" s="83"/>
      <c r="W115" s="79"/>
      <c r="X115" s="82"/>
      <c r="Y115" s="84"/>
      <c r="Z115" s="84"/>
      <c r="AA115" s="85"/>
      <c r="AB115" s="86"/>
      <c r="AC115" s="86"/>
      <c r="AD115" s="23"/>
      <c r="AE115" s="23"/>
    </row>
    <row r="116" spans="1:33">
      <c r="A116" s="3"/>
      <c r="B116" s="3"/>
      <c r="C116" s="11"/>
      <c r="D116" s="88"/>
      <c r="E116" s="3"/>
      <c r="F116" s="3"/>
      <c r="G116" s="3"/>
      <c r="H116" s="3"/>
      <c r="I116" s="3"/>
      <c r="J116" s="3"/>
      <c r="K116" s="2"/>
      <c r="L116" s="3"/>
      <c r="M116" s="3"/>
      <c r="N116" s="3"/>
      <c r="O116" s="6"/>
      <c r="P116" s="3"/>
      <c r="Q116" s="3"/>
      <c r="R116" s="3"/>
      <c r="S116" s="88"/>
      <c r="T116" s="3"/>
      <c r="U116" s="3"/>
      <c r="V116" s="3"/>
      <c r="W116" s="6"/>
      <c r="X116" s="6"/>
      <c r="Y116" s="6"/>
      <c r="Z116" s="6"/>
    </row>
    <row r="117" spans="1:33">
      <c r="A117" s="3"/>
      <c r="B117" s="3"/>
      <c r="C117" s="11"/>
      <c r="D117" s="88"/>
      <c r="E117" s="3"/>
      <c r="F117" s="3"/>
      <c r="G117" s="3"/>
      <c r="H117" s="3"/>
      <c r="I117" s="3"/>
      <c r="J117" s="3"/>
      <c r="K117" s="2"/>
      <c r="L117" s="3"/>
      <c r="M117" s="3"/>
      <c r="N117" s="3"/>
      <c r="O117" s="6"/>
      <c r="P117" s="3"/>
      <c r="Q117" s="3"/>
      <c r="R117" s="3"/>
      <c r="S117" s="88"/>
      <c r="T117" s="3"/>
      <c r="U117" s="3"/>
      <c r="V117" s="3"/>
      <c r="W117" s="6"/>
      <c r="X117" s="6"/>
      <c r="Y117" s="6"/>
      <c r="Z117" s="6"/>
    </row>
    <row r="118" spans="1:33">
      <c r="A118" s="3"/>
      <c r="B118" s="3"/>
      <c r="C118" s="11"/>
      <c r="D118" s="88"/>
      <c r="E118" s="3"/>
      <c r="F118" s="3"/>
      <c r="G118" s="3"/>
      <c r="H118" s="3"/>
      <c r="I118" s="3"/>
      <c r="J118" s="3"/>
      <c r="K118" s="2"/>
      <c r="L118" s="3"/>
      <c r="M118" s="3"/>
      <c r="N118" s="3"/>
      <c r="O118" s="6"/>
      <c r="P118" s="3"/>
      <c r="Q118" s="3"/>
      <c r="R118" s="3"/>
      <c r="S118" s="88"/>
      <c r="T118" s="3"/>
      <c r="U118" s="3"/>
      <c r="V118" s="3"/>
      <c r="W118" s="6"/>
      <c r="X118" s="6"/>
      <c r="Y118" s="6"/>
      <c r="Z118" s="6"/>
    </row>
    <row r="119" spans="1:33">
      <c r="A119" s="3"/>
      <c r="B119" s="3"/>
      <c r="C119" s="11"/>
      <c r="D119" s="88"/>
      <c r="E119" s="3"/>
      <c r="F119" s="3"/>
      <c r="G119" s="3"/>
      <c r="H119" s="3"/>
      <c r="I119" s="3"/>
      <c r="J119" s="3"/>
      <c r="K119" s="2"/>
      <c r="L119" s="3"/>
      <c r="M119" s="3"/>
      <c r="N119" s="3"/>
      <c r="O119" s="6"/>
      <c r="P119" s="3"/>
      <c r="Q119" s="3"/>
      <c r="R119" s="3"/>
      <c r="S119" s="88"/>
      <c r="T119" s="3"/>
      <c r="U119" s="3"/>
      <c r="V119" s="3"/>
      <c r="W119" s="6"/>
      <c r="X119" s="6"/>
      <c r="Y119" s="6"/>
      <c r="Z119" s="6"/>
    </row>
    <row r="120" spans="1:33">
      <c r="A120" s="3"/>
      <c r="B120" s="3"/>
      <c r="C120" s="11"/>
      <c r="D120" s="88"/>
      <c r="E120" s="3"/>
      <c r="F120" s="3"/>
      <c r="G120" s="3"/>
      <c r="H120" s="3"/>
      <c r="I120" s="3"/>
      <c r="J120" s="3"/>
      <c r="K120" s="2"/>
      <c r="L120" s="3"/>
      <c r="M120" s="3"/>
      <c r="N120" s="3"/>
      <c r="O120" s="6"/>
      <c r="P120" s="3"/>
      <c r="Q120" s="3"/>
      <c r="R120" s="3"/>
      <c r="S120" s="88"/>
      <c r="T120" s="3"/>
      <c r="U120" s="3"/>
      <c r="V120" s="3"/>
      <c r="W120" s="6"/>
      <c r="X120" s="6"/>
      <c r="Y120" s="6"/>
      <c r="Z120" s="6"/>
    </row>
    <row r="121" spans="1:33">
      <c r="A121" s="3"/>
      <c r="B121" s="3"/>
      <c r="C121" s="11"/>
      <c r="D121" s="88"/>
      <c r="E121" s="3"/>
      <c r="F121" s="3"/>
      <c r="G121" s="3"/>
      <c r="H121" s="3"/>
      <c r="I121" s="3"/>
      <c r="J121" s="3"/>
      <c r="K121" s="2"/>
      <c r="L121" s="3"/>
      <c r="M121" s="3"/>
      <c r="N121" s="3"/>
      <c r="O121" s="6"/>
      <c r="P121" s="3"/>
      <c r="Q121" s="3"/>
      <c r="R121" s="3"/>
      <c r="S121" s="88"/>
      <c r="T121" s="3"/>
      <c r="U121" s="3"/>
      <c r="V121" s="3"/>
      <c r="W121" s="6"/>
      <c r="X121" s="6"/>
      <c r="Y121" s="6"/>
      <c r="Z121" s="6"/>
    </row>
    <row r="122" spans="1:33">
      <c r="A122" s="3"/>
      <c r="B122" s="3"/>
      <c r="C122" s="11"/>
      <c r="D122" s="88"/>
      <c r="E122" s="3"/>
      <c r="F122" s="3"/>
      <c r="G122" s="3"/>
      <c r="H122" s="3"/>
      <c r="I122" s="3"/>
      <c r="J122" s="3"/>
      <c r="K122" s="2"/>
      <c r="L122" s="3"/>
      <c r="M122" s="3"/>
      <c r="N122" s="3"/>
      <c r="O122" s="6"/>
      <c r="P122" s="3"/>
      <c r="Q122" s="3"/>
      <c r="R122" s="3"/>
      <c r="S122" s="88"/>
      <c r="T122" s="3"/>
      <c r="U122" s="3"/>
      <c r="V122" s="3"/>
      <c r="W122" s="6"/>
      <c r="X122" s="6"/>
      <c r="Y122" s="6"/>
      <c r="Z122" s="6"/>
    </row>
    <row r="123" spans="1:33">
      <c r="A123" s="3"/>
      <c r="B123" s="3"/>
      <c r="C123" s="11"/>
      <c r="D123" s="88"/>
      <c r="E123" s="3"/>
      <c r="F123" s="3"/>
      <c r="G123" s="3"/>
      <c r="H123" s="3"/>
      <c r="I123" s="3"/>
      <c r="J123" s="3"/>
      <c r="K123" s="2"/>
      <c r="L123" s="3"/>
      <c r="M123" s="3"/>
      <c r="N123" s="3"/>
      <c r="O123" s="6"/>
      <c r="P123" s="3"/>
      <c r="Q123" s="3"/>
      <c r="R123" s="3"/>
      <c r="S123" s="88"/>
      <c r="T123" s="3"/>
      <c r="U123" s="3"/>
      <c r="V123" s="3"/>
      <c r="W123" s="6"/>
      <c r="X123" s="6"/>
      <c r="Y123" s="6"/>
      <c r="Z123" s="6"/>
    </row>
    <row r="124" spans="1:33">
      <c r="A124" s="3"/>
      <c r="B124" s="3"/>
      <c r="C124" s="11"/>
      <c r="D124" s="88"/>
      <c r="E124" s="3"/>
      <c r="F124" s="3"/>
      <c r="G124" s="3"/>
      <c r="H124" s="3"/>
      <c r="I124" s="3"/>
      <c r="J124" s="3"/>
      <c r="K124" s="2"/>
      <c r="L124" s="3"/>
      <c r="M124" s="3"/>
      <c r="N124" s="3"/>
      <c r="O124" s="6"/>
      <c r="P124" s="3"/>
      <c r="Q124" s="3"/>
      <c r="R124" s="3"/>
      <c r="S124" s="88"/>
      <c r="T124" s="3"/>
      <c r="U124" s="3"/>
      <c r="V124" s="3"/>
      <c r="W124" s="6"/>
      <c r="X124" s="6"/>
      <c r="Y124" s="6"/>
      <c r="Z124" s="6"/>
    </row>
    <row r="125" spans="1:33">
      <c r="A125" s="3"/>
      <c r="B125" s="3"/>
      <c r="C125" s="11"/>
      <c r="D125" s="88"/>
      <c r="E125" s="3"/>
      <c r="F125" s="3"/>
      <c r="G125" s="3"/>
      <c r="H125" s="3"/>
      <c r="I125" s="3"/>
      <c r="J125" s="3"/>
      <c r="K125" s="2"/>
      <c r="L125" s="3"/>
      <c r="M125" s="3"/>
      <c r="N125" s="3"/>
      <c r="O125" s="6"/>
      <c r="P125" s="3"/>
      <c r="Q125" s="3"/>
      <c r="R125" s="3"/>
      <c r="S125" s="88"/>
      <c r="T125" s="3"/>
      <c r="U125" s="3"/>
      <c r="V125" s="3"/>
      <c r="W125" s="6"/>
      <c r="X125" s="6"/>
      <c r="Y125" s="6"/>
      <c r="Z125" s="6"/>
    </row>
    <row r="126" spans="1:33">
      <c r="A126" s="3"/>
      <c r="B126" s="3"/>
      <c r="C126" s="11"/>
      <c r="D126" s="88"/>
      <c r="E126" s="3"/>
      <c r="F126" s="3"/>
      <c r="G126" s="3"/>
      <c r="H126" s="3"/>
      <c r="I126" s="3"/>
      <c r="J126" s="3"/>
      <c r="K126" s="2"/>
      <c r="L126" s="3"/>
      <c r="M126" s="3"/>
      <c r="N126" s="3"/>
      <c r="O126" s="6"/>
      <c r="P126" s="3"/>
      <c r="Q126" s="3"/>
      <c r="R126" s="3"/>
      <c r="S126" s="88"/>
      <c r="T126" s="3"/>
      <c r="U126" s="3"/>
      <c r="V126" s="3"/>
      <c r="W126" s="6"/>
      <c r="X126" s="6"/>
      <c r="Y126" s="6"/>
      <c r="Z126" s="6"/>
    </row>
    <row r="127" spans="1:33">
      <c r="A127" s="3"/>
      <c r="B127" s="3"/>
      <c r="C127" s="11"/>
      <c r="D127" s="88"/>
      <c r="E127" s="3"/>
      <c r="F127" s="3"/>
      <c r="G127" s="3"/>
      <c r="H127" s="3"/>
      <c r="I127" s="3"/>
      <c r="J127" s="3"/>
      <c r="K127" s="2"/>
      <c r="L127" s="3"/>
      <c r="M127" s="3"/>
      <c r="N127" s="3"/>
      <c r="O127" s="6"/>
      <c r="P127" s="3"/>
      <c r="Q127" s="3"/>
      <c r="R127" s="3"/>
      <c r="S127" s="88"/>
      <c r="T127" s="3"/>
      <c r="U127" s="3"/>
      <c r="V127" s="3"/>
      <c r="W127" s="6"/>
      <c r="X127" s="6"/>
      <c r="Y127" s="6"/>
      <c r="Z127" s="6"/>
    </row>
    <row r="128" spans="1:33">
      <c r="A128" s="3"/>
      <c r="B128" s="3"/>
      <c r="C128" s="11"/>
      <c r="D128" s="88"/>
      <c r="E128" s="3"/>
      <c r="F128" s="3"/>
      <c r="G128" s="3"/>
      <c r="H128" s="3"/>
      <c r="I128" s="3"/>
      <c r="J128" s="3"/>
      <c r="K128" s="2"/>
      <c r="L128" s="3"/>
      <c r="M128" s="3"/>
      <c r="N128" s="3"/>
      <c r="O128" s="6"/>
      <c r="P128" s="3"/>
      <c r="Q128" s="3"/>
      <c r="R128" s="3"/>
      <c r="S128" s="88"/>
      <c r="T128" s="3"/>
      <c r="U128" s="3"/>
      <c r="V128" s="3"/>
      <c r="W128" s="6"/>
      <c r="X128" s="6"/>
      <c r="Y128" s="6"/>
      <c r="Z128" s="6"/>
    </row>
    <row r="129" spans="1:26">
      <c r="A129" s="3"/>
      <c r="B129" s="3"/>
      <c r="C129" s="11"/>
      <c r="D129" s="88"/>
      <c r="E129" s="3"/>
      <c r="F129" s="3"/>
      <c r="G129" s="3"/>
      <c r="H129" s="3"/>
      <c r="I129" s="3"/>
      <c r="J129" s="3"/>
      <c r="K129" s="2"/>
      <c r="L129" s="3"/>
      <c r="M129" s="3"/>
      <c r="N129" s="3"/>
      <c r="O129" s="6"/>
      <c r="P129" s="3"/>
      <c r="Q129" s="3"/>
      <c r="R129" s="3"/>
      <c r="S129" s="88"/>
      <c r="T129" s="3"/>
      <c r="U129" s="3"/>
      <c r="V129" s="3"/>
      <c r="W129" s="6"/>
      <c r="X129" s="6"/>
      <c r="Y129" s="6"/>
      <c r="Z129" s="6"/>
    </row>
    <row r="130" spans="1:26">
      <c r="A130" s="3"/>
      <c r="B130" s="3"/>
      <c r="C130" s="11"/>
      <c r="D130" s="88"/>
      <c r="E130" s="3"/>
      <c r="F130" s="3"/>
      <c r="G130" s="3"/>
      <c r="H130" s="3"/>
      <c r="I130" s="3"/>
      <c r="J130" s="3"/>
      <c r="K130" s="2"/>
      <c r="L130" s="3"/>
      <c r="M130" s="3"/>
      <c r="N130" s="3"/>
      <c r="O130" s="6"/>
      <c r="P130" s="3"/>
      <c r="Q130" s="3"/>
      <c r="R130" s="3"/>
      <c r="S130" s="88"/>
      <c r="T130" s="3"/>
      <c r="U130" s="3"/>
      <c r="V130" s="3"/>
      <c r="W130" s="6"/>
      <c r="X130" s="6"/>
      <c r="Y130" s="6"/>
      <c r="Z130" s="6"/>
    </row>
    <row r="131" spans="1:26">
      <c r="A131" s="3"/>
      <c r="B131" s="3"/>
      <c r="C131" s="11"/>
      <c r="D131" s="88"/>
      <c r="E131" s="3"/>
      <c r="F131" s="3"/>
      <c r="G131" s="3"/>
      <c r="H131" s="3"/>
      <c r="I131" s="3"/>
      <c r="J131" s="3"/>
      <c r="K131" s="2"/>
      <c r="L131" s="3"/>
      <c r="M131" s="3"/>
      <c r="N131" s="3"/>
      <c r="O131" s="6"/>
      <c r="P131" s="3"/>
      <c r="Q131" s="3"/>
      <c r="R131" s="3"/>
      <c r="S131" s="88"/>
      <c r="T131" s="3"/>
      <c r="U131" s="3"/>
      <c r="V131" s="3"/>
      <c r="W131" s="6"/>
      <c r="X131" s="6"/>
      <c r="Y131" s="6"/>
      <c r="Z131" s="6"/>
    </row>
    <row r="132" spans="1:26">
      <c r="A132" s="3"/>
      <c r="B132" s="3"/>
      <c r="C132" s="11"/>
      <c r="D132" s="88"/>
      <c r="E132" s="3"/>
      <c r="F132" s="3"/>
      <c r="G132" s="3"/>
      <c r="H132" s="3"/>
      <c r="I132" s="3"/>
      <c r="J132" s="3"/>
      <c r="K132" s="2"/>
      <c r="L132" s="3"/>
      <c r="M132" s="3"/>
      <c r="N132" s="3"/>
      <c r="O132" s="6"/>
      <c r="P132" s="3"/>
      <c r="Q132" s="3"/>
      <c r="R132" s="3"/>
      <c r="S132" s="88"/>
      <c r="T132" s="3"/>
      <c r="U132" s="3"/>
      <c r="V132" s="3"/>
      <c r="W132" s="6"/>
      <c r="X132" s="6"/>
      <c r="Y132" s="6"/>
      <c r="Z132" s="6"/>
    </row>
    <row r="133" spans="1:26">
      <c r="A133" s="3"/>
      <c r="B133" s="3"/>
      <c r="C133" s="11"/>
      <c r="D133" s="88"/>
      <c r="E133" s="3"/>
      <c r="F133" s="3"/>
      <c r="G133" s="3"/>
      <c r="H133" s="3"/>
      <c r="I133" s="3"/>
      <c r="J133" s="3"/>
      <c r="K133" s="2"/>
      <c r="L133" s="3"/>
      <c r="M133" s="3"/>
      <c r="N133" s="3"/>
      <c r="O133" s="6"/>
      <c r="P133" s="3"/>
      <c r="Q133" s="3"/>
      <c r="R133" s="3"/>
      <c r="S133" s="88"/>
      <c r="T133" s="3"/>
      <c r="U133" s="3"/>
      <c r="V133" s="3"/>
      <c r="W133" s="6"/>
      <c r="X133" s="6"/>
      <c r="Y133" s="6"/>
      <c r="Z133" s="6"/>
    </row>
    <row r="134" spans="1:26">
      <c r="A134" s="3"/>
      <c r="B134" s="3"/>
      <c r="C134" s="11"/>
      <c r="D134" s="88"/>
      <c r="E134" s="3"/>
      <c r="F134" s="3"/>
      <c r="G134" s="3"/>
      <c r="H134" s="3"/>
      <c r="I134" s="3"/>
      <c r="J134" s="3"/>
      <c r="K134" s="2"/>
      <c r="L134" s="3"/>
      <c r="M134" s="3"/>
      <c r="N134" s="3"/>
      <c r="O134" s="6"/>
      <c r="P134" s="3"/>
      <c r="Q134" s="3"/>
      <c r="R134" s="3"/>
      <c r="S134" s="88"/>
      <c r="T134" s="3"/>
      <c r="U134" s="3"/>
      <c r="V134" s="3"/>
      <c r="W134" s="6"/>
      <c r="X134" s="6"/>
      <c r="Y134" s="6"/>
      <c r="Z134" s="6"/>
    </row>
    <row r="135" spans="1:26">
      <c r="A135" s="3"/>
      <c r="B135" s="3"/>
      <c r="C135" s="11"/>
      <c r="D135" s="88"/>
      <c r="E135" s="3"/>
      <c r="F135" s="3"/>
      <c r="G135" s="3"/>
      <c r="H135" s="3"/>
      <c r="I135" s="3"/>
      <c r="J135" s="3"/>
      <c r="K135" s="2"/>
      <c r="L135" s="3"/>
      <c r="M135" s="3"/>
      <c r="N135" s="3"/>
      <c r="O135" s="6"/>
      <c r="P135" s="3"/>
      <c r="Q135" s="3"/>
      <c r="R135" s="3"/>
      <c r="S135" s="88"/>
      <c r="T135" s="3"/>
      <c r="U135" s="3"/>
      <c r="V135" s="3"/>
      <c r="W135" s="6"/>
      <c r="X135" s="6"/>
      <c r="Y135" s="6"/>
      <c r="Z135" s="6"/>
    </row>
    <row r="136" spans="1:26">
      <c r="A136" s="3"/>
      <c r="B136" s="3"/>
      <c r="C136" s="11"/>
      <c r="D136" s="88"/>
      <c r="E136" s="3"/>
      <c r="F136" s="3"/>
      <c r="G136" s="3"/>
      <c r="H136" s="3"/>
      <c r="I136" s="3"/>
      <c r="J136" s="3"/>
      <c r="K136" s="2"/>
      <c r="L136" s="3"/>
      <c r="M136" s="3"/>
      <c r="N136" s="3"/>
      <c r="O136" s="6"/>
      <c r="P136" s="3"/>
      <c r="Q136" s="3"/>
      <c r="R136" s="3"/>
      <c r="S136" s="88"/>
      <c r="T136" s="3"/>
      <c r="U136" s="3"/>
      <c r="V136" s="3"/>
      <c r="W136" s="6"/>
      <c r="X136" s="6"/>
      <c r="Y136" s="6"/>
      <c r="Z136" s="6"/>
    </row>
    <row r="137" spans="1:26">
      <c r="A137" s="3"/>
      <c r="B137" s="3"/>
      <c r="C137" s="11"/>
      <c r="D137" s="88"/>
      <c r="E137" s="3"/>
      <c r="F137" s="3"/>
      <c r="G137" s="3"/>
      <c r="H137" s="3"/>
      <c r="I137" s="3"/>
      <c r="J137" s="3"/>
      <c r="K137" s="2"/>
      <c r="L137" s="3"/>
      <c r="M137" s="3"/>
      <c r="N137" s="3"/>
      <c r="O137" s="6"/>
      <c r="P137" s="3"/>
      <c r="Q137" s="3"/>
      <c r="R137" s="3"/>
      <c r="S137" s="88"/>
      <c r="T137" s="3"/>
      <c r="U137" s="3"/>
      <c r="V137" s="3"/>
      <c r="W137" s="6"/>
      <c r="X137" s="6"/>
      <c r="Y137" s="6"/>
      <c r="Z137" s="6"/>
    </row>
    <row r="138" spans="1:26">
      <c r="A138" s="3"/>
      <c r="B138" s="3"/>
      <c r="C138" s="11"/>
      <c r="D138" s="88"/>
      <c r="E138" s="3"/>
      <c r="F138" s="3"/>
      <c r="G138" s="3"/>
      <c r="H138" s="3"/>
      <c r="I138" s="3"/>
      <c r="J138" s="3"/>
      <c r="K138" s="2"/>
      <c r="L138" s="3"/>
      <c r="M138" s="3"/>
      <c r="N138" s="3"/>
      <c r="O138" s="6"/>
      <c r="P138" s="3"/>
      <c r="Q138" s="3"/>
      <c r="R138" s="3"/>
      <c r="S138" s="88"/>
      <c r="T138" s="3"/>
      <c r="U138" s="3"/>
      <c r="V138" s="3"/>
      <c r="W138" s="6"/>
      <c r="X138" s="6"/>
      <c r="Y138" s="6"/>
      <c r="Z138" s="6"/>
    </row>
    <row r="139" spans="1:26">
      <c r="A139" s="3"/>
      <c r="B139" s="3"/>
      <c r="C139" s="11"/>
      <c r="D139" s="88"/>
      <c r="E139" s="3"/>
      <c r="F139" s="3"/>
      <c r="G139" s="3"/>
      <c r="H139" s="3"/>
      <c r="I139" s="3"/>
      <c r="J139" s="3"/>
      <c r="K139" s="2"/>
      <c r="L139" s="3"/>
      <c r="M139" s="3"/>
      <c r="N139" s="3"/>
      <c r="O139" s="6"/>
      <c r="P139" s="3"/>
      <c r="Q139" s="3"/>
      <c r="R139" s="3"/>
      <c r="S139" s="88"/>
      <c r="T139" s="3"/>
      <c r="U139" s="3"/>
      <c r="V139" s="3"/>
      <c r="W139" s="6"/>
      <c r="X139" s="6"/>
      <c r="Y139" s="6"/>
      <c r="Z139" s="6"/>
    </row>
    <row r="140" spans="1:26">
      <c r="A140" s="3"/>
      <c r="B140" s="3"/>
      <c r="C140" s="11"/>
      <c r="D140" s="88"/>
      <c r="E140" s="3"/>
      <c r="F140" s="3"/>
      <c r="G140" s="3"/>
      <c r="H140" s="3"/>
      <c r="I140" s="3"/>
      <c r="J140" s="3"/>
      <c r="K140" s="2"/>
      <c r="L140" s="3"/>
      <c r="M140" s="3"/>
      <c r="N140" s="3"/>
      <c r="O140" s="6"/>
      <c r="P140" s="3"/>
      <c r="Q140" s="3"/>
      <c r="R140" s="3"/>
      <c r="S140" s="88"/>
      <c r="T140" s="3"/>
      <c r="U140" s="3"/>
      <c r="V140" s="3"/>
      <c r="W140" s="6"/>
      <c r="X140" s="6"/>
      <c r="Y140" s="6"/>
      <c r="Z140" s="6"/>
    </row>
    <row r="141" spans="1:26">
      <c r="A141" s="3"/>
      <c r="B141" s="3"/>
      <c r="C141" s="28"/>
      <c r="D141" s="88"/>
      <c r="E141" s="3"/>
      <c r="F141" s="3"/>
      <c r="G141" s="3"/>
      <c r="H141" s="3"/>
      <c r="I141" s="3"/>
      <c r="J141" s="3"/>
      <c r="K141" s="2"/>
      <c r="L141" s="3"/>
      <c r="M141" s="3"/>
      <c r="N141" s="3"/>
      <c r="O141" s="6"/>
      <c r="P141" s="3"/>
      <c r="Q141" s="3"/>
      <c r="R141" s="3"/>
      <c r="S141" s="88"/>
      <c r="T141" s="3"/>
      <c r="U141" s="3"/>
      <c r="V141" s="3"/>
      <c r="W141" s="6"/>
      <c r="X141" s="6"/>
      <c r="Y141" s="6"/>
      <c r="Z141" s="6"/>
    </row>
    <row r="142" spans="1:26">
      <c r="A142" s="3"/>
      <c r="B142" s="3"/>
      <c r="C142" s="28"/>
      <c r="D142" s="88"/>
      <c r="E142" s="3"/>
      <c r="F142" s="3"/>
      <c r="G142" s="3"/>
      <c r="H142" s="3"/>
      <c r="I142" s="3"/>
      <c r="J142" s="3"/>
      <c r="K142" s="2"/>
      <c r="L142" s="3"/>
      <c r="M142" s="3"/>
      <c r="N142" s="3"/>
      <c r="O142" s="6"/>
      <c r="P142" s="3"/>
      <c r="Q142" s="3"/>
      <c r="R142" s="3"/>
      <c r="S142" s="88"/>
      <c r="T142" s="3"/>
      <c r="U142" s="3"/>
      <c r="V142" s="3"/>
      <c r="W142" s="6"/>
      <c r="X142" s="6"/>
      <c r="Y142" s="6"/>
      <c r="Z142" s="6"/>
    </row>
    <row r="143" spans="1:26">
      <c r="A143" s="3"/>
      <c r="B143" s="3"/>
      <c r="C143" s="28"/>
      <c r="D143" s="88"/>
      <c r="E143" s="3"/>
      <c r="F143" s="3"/>
      <c r="G143" s="3"/>
      <c r="H143" s="3"/>
      <c r="I143" s="3"/>
      <c r="J143" s="3"/>
      <c r="K143" s="2"/>
      <c r="L143" s="3"/>
      <c r="M143" s="3"/>
      <c r="N143" s="3"/>
      <c r="O143" s="6"/>
      <c r="P143" s="3"/>
      <c r="Q143" s="3"/>
      <c r="R143" s="3"/>
      <c r="S143" s="88"/>
      <c r="T143" s="3"/>
      <c r="U143" s="3"/>
      <c r="V143" s="3"/>
      <c r="W143" s="6"/>
      <c r="X143" s="6"/>
      <c r="Y143" s="6"/>
      <c r="Z143" s="6"/>
    </row>
    <row r="144" spans="1:26">
      <c r="A144" s="3"/>
      <c r="B144" s="3"/>
      <c r="C144" s="29"/>
      <c r="D144" s="88"/>
      <c r="E144" s="3"/>
      <c r="F144" s="3"/>
      <c r="G144" s="3"/>
      <c r="H144" s="3"/>
      <c r="I144" s="3"/>
      <c r="J144" s="3"/>
      <c r="K144" s="2"/>
      <c r="L144" s="3"/>
      <c r="M144" s="3"/>
      <c r="N144" s="3"/>
      <c r="O144" s="6"/>
      <c r="P144" s="3"/>
      <c r="Q144" s="3"/>
      <c r="R144" s="3"/>
      <c r="S144" s="88"/>
      <c r="T144" s="3"/>
      <c r="U144" s="3"/>
      <c r="V144" s="3"/>
      <c r="W144" s="6"/>
      <c r="X144" s="6"/>
      <c r="Y144" s="6"/>
      <c r="Z144" s="6"/>
    </row>
    <row r="145" spans="1:26">
      <c r="A145" s="3"/>
      <c r="B145" s="3"/>
      <c r="C145" s="29"/>
      <c r="D145" s="88"/>
      <c r="E145" s="3"/>
      <c r="F145" s="3"/>
      <c r="G145" s="3"/>
      <c r="H145" s="3"/>
      <c r="I145" s="3"/>
      <c r="J145" s="3"/>
      <c r="K145" s="2"/>
      <c r="L145" s="3"/>
      <c r="M145" s="3"/>
      <c r="N145" s="3"/>
      <c r="O145" s="6"/>
      <c r="P145" s="3"/>
      <c r="Q145" s="3"/>
      <c r="R145" s="3"/>
      <c r="S145" s="88"/>
      <c r="T145" s="3"/>
      <c r="U145" s="3"/>
      <c r="V145" s="3"/>
      <c r="W145" s="6"/>
      <c r="X145" s="6"/>
      <c r="Y145" s="6"/>
      <c r="Z145" s="6"/>
    </row>
    <row r="146" spans="1:26">
      <c r="A146" s="3"/>
      <c r="B146" s="3"/>
      <c r="C146" s="30"/>
      <c r="D146" s="88"/>
      <c r="E146" s="3"/>
      <c r="F146" s="3"/>
      <c r="G146" s="3"/>
      <c r="H146" s="3"/>
      <c r="I146" s="3"/>
      <c r="J146" s="3"/>
      <c r="K146" s="2"/>
      <c r="L146" s="3"/>
      <c r="M146" s="3"/>
      <c r="N146" s="3"/>
      <c r="O146" s="6"/>
      <c r="P146" s="3"/>
      <c r="Q146" s="3"/>
      <c r="R146" s="3"/>
      <c r="S146" s="88"/>
      <c r="T146" s="3"/>
      <c r="U146" s="3"/>
      <c r="V146" s="3"/>
      <c r="W146" s="6"/>
      <c r="X146" s="6"/>
      <c r="Y146" s="6"/>
      <c r="Z146" s="6"/>
    </row>
    <row r="147" spans="1:26">
      <c r="A147" s="3"/>
      <c r="B147" s="3"/>
      <c r="C147" s="31"/>
      <c r="D147" s="88"/>
      <c r="E147" s="3"/>
      <c r="F147" s="3"/>
      <c r="G147" s="3"/>
      <c r="H147" s="3"/>
      <c r="I147" s="3"/>
      <c r="J147" s="3"/>
      <c r="K147" s="2"/>
      <c r="L147" s="3"/>
      <c r="M147" s="3"/>
      <c r="N147" s="3"/>
      <c r="O147" s="6"/>
      <c r="P147" s="3"/>
      <c r="Q147" s="3"/>
      <c r="R147" s="3"/>
      <c r="S147" s="88"/>
      <c r="T147" s="3"/>
      <c r="U147" s="3"/>
      <c r="V147" s="3"/>
      <c r="W147" s="6"/>
      <c r="X147" s="6"/>
      <c r="Y147" s="6"/>
      <c r="Z147" s="6"/>
    </row>
    <row r="148" spans="1:26">
      <c r="A148" s="3"/>
      <c r="B148" s="3"/>
      <c r="C148" s="31"/>
      <c r="D148" s="88"/>
      <c r="E148" s="3"/>
      <c r="F148" s="3"/>
      <c r="G148" s="3"/>
      <c r="H148" s="3"/>
      <c r="I148" s="3"/>
      <c r="J148" s="3"/>
      <c r="K148" s="2"/>
      <c r="L148" s="3"/>
      <c r="M148" s="3"/>
      <c r="N148" s="3"/>
      <c r="O148" s="6"/>
      <c r="P148" s="3"/>
      <c r="Q148" s="3"/>
      <c r="R148" s="3"/>
      <c r="S148" s="88"/>
      <c r="T148" s="3"/>
      <c r="U148" s="3"/>
      <c r="V148" s="3"/>
      <c r="W148" s="6"/>
      <c r="X148" s="6"/>
      <c r="Y148" s="6"/>
      <c r="Z148" s="6"/>
    </row>
    <row r="149" spans="1:26">
      <c r="A149" s="3"/>
      <c r="B149" s="3"/>
      <c r="C149" s="2"/>
      <c r="D149" s="88"/>
      <c r="E149" s="3"/>
      <c r="F149" s="3"/>
      <c r="G149" s="3"/>
      <c r="H149" s="3"/>
      <c r="I149" s="3"/>
      <c r="J149" s="3"/>
      <c r="K149" s="2"/>
      <c r="L149" s="3"/>
      <c r="M149" s="3"/>
      <c r="N149" s="3"/>
      <c r="O149" s="6"/>
      <c r="P149" s="3"/>
      <c r="Q149" s="3"/>
      <c r="R149" s="3"/>
      <c r="S149" s="88"/>
      <c r="T149" s="3"/>
      <c r="U149" s="3"/>
      <c r="V149" s="3"/>
      <c r="W149" s="6"/>
      <c r="X149" s="6"/>
      <c r="Y149" s="6"/>
      <c r="Z149" s="6"/>
    </row>
    <row r="150" spans="1:26">
      <c r="A150" s="3"/>
      <c r="B150" s="3"/>
      <c r="C150" s="2"/>
      <c r="D150" s="88"/>
      <c r="E150" s="3"/>
      <c r="F150" s="3"/>
      <c r="G150" s="3"/>
      <c r="H150" s="3"/>
      <c r="I150" s="3"/>
      <c r="J150" s="3"/>
      <c r="K150" s="2"/>
      <c r="L150" s="3"/>
      <c r="M150" s="3"/>
      <c r="N150" s="3"/>
      <c r="O150" s="6"/>
      <c r="P150" s="3"/>
      <c r="Q150" s="3"/>
      <c r="R150" s="3"/>
      <c r="S150" s="88"/>
      <c r="T150" s="3"/>
      <c r="U150" s="3"/>
      <c r="V150" s="3"/>
      <c r="W150" s="6"/>
      <c r="X150" s="6"/>
      <c r="Y150" s="6"/>
      <c r="Z150" s="6"/>
    </row>
    <row r="151" spans="1:26">
      <c r="A151" s="3"/>
      <c r="B151" s="3"/>
      <c r="C151" s="2"/>
      <c r="D151" s="88"/>
      <c r="E151" s="3"/>
      <c r="F151" s="3"/>
      <c r="G151" s="3"/>
      <c r="H151" s="3"/>
      <c r="I151" s="3"/>
      <c r="J151" s="3"/>
      <c r="K151" s="2"/>
      <c r="L151" s="3"/>
      <c r="M151" s="3"/>
      <c r="N151" s="3"/>
      <c r="O151" s="6"/>
      <c r="P151" s="3"/>
      <c r="Q151" s="3"/>
      <c r="R151" s="3"/>
      <c r="S151" s="88"/>
      <c r="T151" s="3"/>
      <c r="U151" s="3"/>
      <c r="V151" s="3"/>
      <c r="W151" s="6"/>
      <c r="X151" s="6"/>
      <c r="Y151" s="6"/>
      <c r="Z151" s="6"/>
    </row>
    <row r="152" spans="1:26">
      <c r="A152" s="3"/>
      <c r="B152" s="3"/>
      <c r="C152" s="2"/>
      <c r="D152" s="88"/>
      <c r="E152" s="3"/>
      <c r="F152" s="3"/>
      <c r="G152" s="3"/>
      <c r="H152" s="3"/>
      <c r="I152" s="3"/>
      <c r="J152" s="3"/>
      <c r="K152" s="2"/>
      <c r="L152" s="3"/>
      <c r="M152" s="3"/>
      <c r="N152" s="3"/>
      <c r="O152" s="6"/>
      <c r="P152" s="3"/>
      <c r="Q152" s="3"/>
      <c r="R152" s="3"/>
      <c r="S152" s="88"/>
      <c r="T152" s="3"/>
      <c r="U152" s="3"/>
      <c r="V152" s="3"/>
      <c r="W152" s="6"/>
      <c r="X152" s="6"/>
      <c r="Y152" s="6"/>
      <c r="Z152" s="6"/>
    </row>
    <row r="153" spans="1:26">
      <c r="A153" s="3"/>
      <c r="B153" s="3"/>
      <c r="C153" s="2"/>
      <c r="D153" s="88"/>
      <c r="E153" s="3"/>
      <c r="F153" s="3"/>
      <c r="G153" s="3"/>
      <c r="H153" s="3"/>
      <c r="I153" s="3"/>
      <c r="J153" s="3"/>
      <c r="K153" s="2"/>
      <c r="L153" s="3"/>
      <c r="M153" s="3"/>
      <c r="N153" s="3"/>
      <c r="O153" s="6"/>
      <c r="P153" s="3"/>
      <c r="Q153" s="3"/>
      <c r="R153" s="3"/>
      <c r="S153" s="88"/>
      <c r="T153" s="3"/>
      <c r="U153" s="3"/>
      <c r="V153" s="3"/>
      <c r="W153" s="6"/>
      <c r="X153" s="6"/>
      <c r="Y153" s="6"/>
      <c r="Z153" s="6"/>
    </row>
    <row r="154" spans="1:26">
      <c r="A154" s="3"/>
      <c r="B154" s="3"/>
      <c r="C154" s="2"/>
      <c r="D154" s="88"/>
      <c r="E154" s="3"/>
      <c r="F154" s="3"/>
      <c r="G154" s="3"/>
      <c r="H154" s="3"/>
      <c r="I154" s="3"/>
      <c r="J154" s="3"/>
      <c r="K154" s="2"/>
      <c r="L154" s="3"/>
      <c r="M154" s="3"/>
      <c r="N154" s="3"/>
      <c r="O154" s="6"/>
      <c r="P154" s="3"/>
      <c r="Q154" s="3"/>
      <c r="R154" s="3"/>
      <c r="S154" s="88"/>
      <c r="T154" s="3"/>
      <c r="U154" s="3"/>
      <c r="V154" s="3"/>
      <c r="W154" s="6"/>
      <c r="X154" s="6"/>
      <c r="Y154" s="6"/>
      <c r="Z154" s="6"/>
    </row>
    <row r="155" spans="1:26">
      <c r="A155" s="3"/>
      <c r="B155" s="3"/>
      <c r="C155" s="2"/>
      <c r="D155" s="88"/>
      <c r="E155" s="3"/>
      <c r="F155" s="3"/>
      <c r="G155" s="3"/>
      <c r="H155" s="3"/>
      <c r="I155" s="3"/>
      <c r="J155" s="3"/>
      <c r="K155" s="2"/>
      <c r="L155" s="3"/>
      <c r="M155" s="3"/>
      <c r="N155" s="3"/>
      <c r="O155" s="6"/>
      <c r="P155" s="3"/>
      <c r="Q155" s="3"/>
      <c r="R155" s="3"/>
      <c r="S155" s="88"/>
      <c r="T155" s="3"/>
      <c r="U155" s="3"/>
      <c r="V155" s="3"/>
      <c r="W155" s="6"/>
      <c r="X155" s="6"/>
      <c r="Y155" s="6"/>
      <c r="Z155" s="6"/>
    </row>
    <row r="156" spans="1:26">
      <c r="A156" s="3"/>
      <c r="B156" s="3"/>
      <c r="C156" s="2"/>
      <c r="D156" s="88"/>
      <c r="E156" s="3"/>
      <c r="F156" s="3"/>
      <c r="G156" s="3"/>
      <c r="H156" s="3"/>
      <c r="I156" s="3"/>
      <c r="J156" s="3"/>
      <c r="K156" s="2"/>
      <c r="L156" s="3"/>
      <c r="M156" s="3"/>
      <c r="N156" s="3"/>
      <c r="O156" s="6"/>
      <c r="P156" s="3"/>
      <c r="Q156" s="3"/>
      <c r="R156" s="3"/>
      <c r="S156" s="88"/>
      <c r="T156" s="3"/>
      <c r="U156" s="3"/>
      <c r="V156" s="3"/>
      <c r="W156" s="6"/>
      <c r="X156" s="6"/>
      <c r="Y156" s="6"/>
      <c r="Z156" s="6"/>
    </row>
    <row r="157" spans="1:26">
      <c r="A157" s="3"/>
      <c r="B157" s="3"/>
      <c r="C157" s="2"/>
      <c r="D157" s="88"/>
      <c r="E157" s="3"/>
      <c r="F157" s="3"/>
      <c r="G157" s="3"/>
      <c r="H157" s="3"/>
      <c r="I157" s="3"/>
      <c r="J157" s="3"/>
      <c r="K157" s="2"/>
      <c r="L157" s="3"/>
      <c r="M157" s="3"/>
      <c r="N157" s="3"/>
      <c r="O157" s="6"/>
      <c r="P157" s="3"/>
      <c r="Q157" s="3"/>
      <c r="R157" s="3"/>
      <c r="S157" s="88"/>
      <c r="T157" s="3"/>
      <c r="U157" s="3"/>
      <c r="V157" s="3"/>
      <c r="W157" s="6"/>
      <c r="X157" s="6"/>
      <c r="Y157" s="6"/>
      <c r="Z157" s="6"/>
    </row>
    <row r="158" spans="1:26">
      <c r="A158" s="3"/>
      <c r="B158" s="3"/>
      <c r="C158" s="2"/>
      <c r="D158" s="88"/>
      <c r="E158" s="3"/>
      <c r="F158" s="3"/>
      <c r="G158" s="3"/>
      <c r="H158" s="3"/>
      <c r="I158" s="3"/>
      <c r="J158" s="3"/>
      <c r="K158" s="2"/>
      <c r="L158" s="3"/>
      <c r="M158" s="3"/>
      <c r="N158" s="3"/>
      <c r="O158" s="6"/>
      <c r="P158" s="3"/>
      <c r="Q158" s="3"/>
      <c r="R158" s="3"/>
      <c r="S158" s="88"/>
      <c r="T158" s="3"/>
      <c r="U158" s="3"/>
      <c r="V158" s="3"/>
      <c r="W158" s="6"/>
      <c r="X158" s="6"/>
      <c r="Y158" s="6"/>
      <c r="Z158" s="6"/>
    </row>
    <row r="159" spans="1:26">
      <c r="A159" s="3"/>
      <c r="B159" s="3"/>
      <c r="C159" s="2"/>
      <c r="D159" s="88"/>
      <c r="E159" s="3"/>
      <c r="F159" s="3"/>
      <c r="G159" s="3"/>
      <c r="H159" s="3"/>
      <c r="I159" s="3"/>
      <c r="J159" s="3"/>
      <c r="K159" s="2"/>
      <c r="L159" s="3"/>
      <c r="M159" s="3"/>
      <c r="N159" s="3"/>
      <c r="O159" s="6"/>
      <c r="P159" s="3"/>
      <c r="Q159" s="3"/>
      <c r="R159" s="3"/>
      <c r="S159" s="88"/>
      <c r="T159" s="3"/>
      <c r="U159" s="3"/>
      <c r="V159" s="3"/>
      <c r="W159" s="6"/>
      <c r="X159" s="6"/>
      <c r="Y159" s="6"/>
      <c r="Z159" s="6"/>
    </row>
    <row r="160" spans="1:26">
      <c r="A160" s="3"/>
      <c r="B160" s="3"/>
      <c r="C160" s="2"/>
      <c r="D160" s="88"/>
      <c r="E160" s="3"/>
      <c r="F160" s="3"/>
      <c r="G160" s="3"/>
      <c r="H160" s="3"/>
      <c r="I160" s="3"/>
      <c r="J160" s="3"/>
      <c r="K160" s="2"/>
      <c r="L160" s="3"/>
      <c r="M160" s="3"/>
      <c r="N160" s="3"/>
      <c r="O160" s="6"/>
      <c r="P160" s="3"/>
      <c r="Q160" s="3"/>
      <c r="R160" s="3"/>
      <c r="S160" s="88"/>
      <c r="T160" s="3"/>
      <c r="U160" s="3"/>
      <c r="V160" s="3"/>
      <c r="W160" s="6"/>
      <c r="X160" s="6"/>
      <c r="Y160" s="6"/>
      <c r="Z160" s="6"/>
    </row>
    <row r="161" spans="1:26">
      <c r="A161" s="3"/>
      <c r="B161" s="3"/>
      <c r="C161" s="2"/>
      <c r="D161" s="88"/>
      <c r="E161" s="3"/>
      <c r="F161" s="3"/>
      <c r="G161" s="3"/>
      <c r="H161" s="3"/>
      <c r="I161" s="3"/>
      <c r="J161" s="3"/>
      <c r="K161" s="2"/>
      <c r="L161" s="3"/>
      <c r="M161" s="3"/>
      <c r="N161" s="3"/>
      <c r="O161" s="6"/>
      <c r="P161" s="3"/>
      <c r="Q161" s="3"/>
      <c r="R161" s="3"/>
      <c r="S161" s="88"/>
      <c r="T161" s="3"/>
      <c r="U161" s="3"/>
      <c r="V161" s="3"/>
      <c r="W161" s="6"/>
      <c r="X161" s="6"/>
      <c r="Y161" s="6"/>
      <c r="Z161" s="6"/>
    </row>
    <row r="162" spans="1:26">
      <c r="A162" s="3"/>
      <c r="B162" s="3"/>
      <c r="C162" s="2"/>
      <c r="D162" s="88"/>
      <c r="E162" s="3"/>
      <c r="F162" s="3"/>
      <c r="G162" s="3"/>
      <c r="H162" s="3"/>
      <c r="I162" s="3"/>
      <c r="J162" s="3"/>
      <c r="K162" s="2"/>
      <c r="L162" s="3"/>
      <c r="M162" s="3"/>
      <c r="N162" s="3"/>
      <c r="O162" s="6"/>
      <c r="P162" s="3"/>
      <c r="Q162" s="3"/>
      <c r="R162" s="3"/>
      <c r="S162" s="88"/>
      <c r="T162" s="3"/>
      <c r="U162" s="3"/>
      <c r="V162" s="3"/>
      <c r="W162" s="6"/>
      <c r="X162" s="6"/>
      <c r="Y162" s="6"/>
      <c r="Z162" s="6"/>
    </row>
    <row r="163" spans="1:26">
      <c r="A163" s="3"/>
      <c r="B163" s="3"/>
      <c r="C163" s="2"/>
      <c r="D163" s="88"/>
      <c r="E163" s="3"/>
      <c r="F163" s="3"/>
      <c r="G163" s="3"/>
      <c r="H163" s="3"/>
      <c r="I163" s="3"/>
      <c r="J163" s="3"/>
      <c r="K163" s="2"/>
      <c r="L163" s="3"/>
      <c r="M163" s="3"/>
      <c r="N163" s="3"/>
      <c r="O163" s="6"/>
      <c r="P163" s="3"/>
      <c r="Q163" s="3"/>
      <c r="R163" s="3"/>
      <c r="S163" s="88"/>
      <c r="T163" s="3"/>
      <c r="U163" s="3"/>
      <c r="V163" s="3"/>
      <c r="W163" s="6"/>
      <c r="X163" s="6"/>
      <c r="Y163" s="6"/>
      <c r="Z163" s="6"/>
    </row>
    <row r="164" spans="1:26">
      <c r="A164" s="3"/>
      <c r="B164" s="3"/>
      <c r="C164" s="2"/>
      <c r="D164" s="88"/>
      <c r="E164" s="3"/>
      <c r="F164" s="3"/>
      <c r="G164" s="3"/>
      <c r="H164" s="3"/>
      <c r="I164" s="3"/>
      <c r="J164" s="3"/>
      <c r="K164" s="2"/>
      <c r="L164" s="3"/>
      <c r="M164" s="3"/>
      <c r="N164" s="3"/>
      <c r="O164" s="6"/>
      <c r="P164" s="3"/>
      <c r="Q164" s="3"/>
      <c r="R164" s="3"/>
      <c r="S164" s="88"/>
      <c r="T164" s="3"/>
      <c r="U164" s="3"/>
      <c r="V164" s="3"/>
      <c r="W164" s="6"/>
      <c r="X164" s="6"/>
      <c r="Y164" s="6"/>
      <c r="Z164" s="6"/>
    </row>
    <row r="165" spans="1:26">
      <c r="A165" s="3"/>
      <c r="B165" s="3"/>
      <c r="C165" s="2"/>
      <c r="D165" s="88"/>
      <c r="E165" s="3"/>
      <c r="F165" s="3"/>
      <c r="G165" s="3"/>
      <c r="H165" s="3"/>
      <c r="I165" s="3"/>
      <c r="J165" s="3"/>
      <c r="K165" s="2"/>
      <c r="L165" s="3"/>
      <c r="M165" s="3"/>
      <c r="N165" s="3"/>
      <c r="O165" s="6"/>
      <c r="P165" s="3"/>
      <c r="Q165" s="3"/>
      <c r="R165" s="3"/>
      <c r="S165" s="88"/>
      <c r="T165" s="3"/>
      <c r="U165" s="3"/>
      <c r="V165" s="3"/>
      <c r="W165" s="6"/>
      <c r="X165" s="6"/>
      <c r="Y165" s="6"/>
      <c r="Z165" s="6"/>
    </row>
    <row r="166" spans="1:26">
      <c r="A166" s="3"/>
      <c r="B166" s="3"/>
      <c r="C166" s="2"/>
      <c r="D166" s="88"/>
      <c r="E166" s="3"/>
      <c r="F166" s="3"/>
      <c r="G166" s="3"/>
      <c r="H166" s="3"/>
      <c r="I166" s="3"/>
      <c r="J166" s="3"/>
      <c r="K166" s="2"/>
      <c r="L166" s="3"/>
      <c r="M166" s="3"/>
      <c r="N166" s="3"/>
      <c r="O166" s="6"/>
      <c r="P166" s="3"/>
      <c r="Q166" s="3"/>
      <c r="R166" s="3"/>
      <c r="S166" s="88"/>
      <c r="T166" s="3"/>
      <c r="U166" s="3"/>
      <c r="V166" s="3"/>
      <c r="W166" s="6"/>
      <c r="X166" s="6"/>
      <c r="Y166" s="6"/>
      <c r="Z166" s="6"/>
    </row>
    <row r="167" spans="1:26">
      <c r="A167" s="3"/>
      <c r="B167" s="3"/>
      <c r="C167" s="2"/>
      <c r="D167" s="88"/>
      <c r="E167" s="3"/>
      <c r="F167" s="3"/>
      <c r="G167" s="3"/>
      <c r="H167" s="3"/>
      <c r="I167" s="3"/>
      <c r="J167" s="3"/>
      <c r="K167" s="2"/>
      <c r="L167" s="3"/>
      <c r="M167" s="3"/>
      <c r="N167" s="3"/>
      <c r="O167" s="6"/>
      <c r="P167" s="3"/>
      <c r="Q167" s="3"/>
      <c r="R167" s="3"/>
      <c r="S167" s="88"/>
      <c r="T167" s="3"/>
      <c r="U167" s="3"/>
      <c r="V167" s="3"/>
      <c r="W167" s="6"/>
      <c r="X167" s="6"/>
      <c r="Y167" s="6"/>
      <c r="Z167" s="6"/>
    </row>
    <row r="168" spans="1:26">
      <c r="A168" s="3"/>
      <c r="B168" s="3"/>
      <c r="C168" s="2"/>
      <c r="D168" s="88"/>
      <c r="E168" s="3"/>
      <c r="F168" s="3"/>
      <c r="G168" s="3"/>
      <c r="H168" s="3"/>
      <c r="I168" s="3"/>
      <c r="J168" s="3"/>
      <c r="K168" s="2"/>
      <c r="L168" s="3"/>
      <c r="M168" s="3"/>
      <c r="N168" s="3"/>
      <c r="O168" s="6"/>
      <c r="P168" s="3"/>
      <c r="Q168" s="3"/>
      <c r="R168" s="3"/>
      <c r="S168" s="88"/>
      <c r="T168" s="3"/>
      <c r="U168" s="3"/>
      <c r="V168" s="3"/>
      <c r="W168" s="6"/>
      <c r="X168" s="6"/>
      <c r="Y168" s="6"/>
      <c r="Z168" s="6"/>
    </row>
    <row r="169" spans="1:26">
      <c r="A169" s="3"/>
      <c r="B169" s="3"/>
      <c r="C169" s="2"/>
      <c r="D169" s="88"/>
      <c r="E169" s="3"/>
      <c r="F169" s="3"/>
      <c r="G169" s="3"/>
      <c r="H169" s="3"/>
      <c r="I169" s="3"/>
      <c r="J169" s="3"/>
      <c r="K169" s="2"/>
      <c r="L169" s="3"/>
      <c r="M169" s="3"/>
      <c r="N169" s="3"/>
      <c r="O169" s="6"/>
      <c r="P169" s="3"/>
      <c r="Q169" s="3"/>
      <c r="R169" s="3"/>
      <c r="S169" s="88"/>
      <c r="T169" s="3"/>
      <c r="U169" s="3"/>
      <c r="V169" s="3"/>
      <c r="W169" s="6"/>
      <c r="X169" s="6"/>
      <c r="Y169" s="6"/>
      <c r="Z169" s="6"/>
    </row>
    <row r="170" spans="1:26">
      <c r="A170" s="3"/>
      <c r="B170" s="3"/>
      <c r="C170" s="2"/>
      <c r="D170" s="88"/>
      <c r="E170" s="3"/>
      <c r="F170" s="3"/>
      <c r="G170" s="3"/>
      <c r="H170" s="3"/>
      <c r="I170" s="3"/>
      <c r="J170" s="3"/>
      <c r="K170" s="2"/>
      <c r="L170" s="3"/>
      <c r="M170" s="3"/>
      <c r="N170" s="3"/>
      <c r="O170" s="6"/>
      <c r="P170" s="3"/>
      <c r="Q170" s="3"/>
      <c r="R170" s="3"/>
      <c r="S170" s="88"/>
      <c r="T170" s="3"/>
      <c r="U170" s="3"/>
      <c r="V170" s="3"/>
      <c r="W170" s="6"/>
      <c r="X170" s="6"/>
      <c r="Y170" s="6"/>
      <c r="Z170" s="6"/>
    </row>
    <row r="171" spans="1:26">
      <c r="A171" s="3"/>
      <c r="B171" s="3"/>
      <c r="C171" s="2"/>
      <c r="D171" s="88"/>
      <c r="E171" s="3"/>
      <c r="F171" s="3"/>
      <c r="G171" s="3"/>
      <c r="H171" s="3"/>
      <c r="I171" s="3"/>
      <c r="J171" s="3"/>
      <c r="K171" s="2"/>
      <c r="L171" s="3"/>
      <c r="M171" s="3"/>
      <c r="N171" s="3"/>
      <c r="O171" s="6"/>
      <c r="P171" s="3"/>
      <c r="Q171" s="3"/>
      <c r="R171" s="3"/>
      <c r="S171" s="88"/>
      <c r="T171" s="3"/>
      <c r="U171" s="3"/>
      <c r="V171" s="3"/>
      <c r="W171" s="6"/>
      <c r="X171" s="6"/>
      <c r="Y171" s="6"/>
      <c r="Z171" s="6"/>
    </row>
    <row r="172" spans="1:26">
      <c r="A172" s="3"/>
      <c r="B172" s="3"/>
      <c r="C172" s="2"/>
      <c r="D172" s="88"/>
      <c r="E172" s="3"/>
      <c r="F172" s="3"/>
      <c r="G172" s="3"/>
      <c r="H172" s="3"/>
      <c r="I172" s="3"/>
      <c r="J172" s="3"/>
      <c r="K172" s="2"/>
      <c r="L172" s="3"/>
      <c r="M172" s="3"/>
      <c r="N172" s="3"/>
      <c r="O172" s="6"/>
      <c r="P172" s="3"/>
      <c r="Q172" s="3"/>
      <c r="R172" s="3"/>
      <c r="S172" s="88"/>
      <c r="T172" s="3"/>
      <c r="U172" s="3"/>
      <c r="V172" s="3"/>
      <c r="W172" s="6"/>
      <c r="X172" s="6"/>
      <c r="Y172" s="6"/>
      <c r="Z172" s="6"/>
    </row>
    <row r="173" spans="1:26">
      <c r="A173" s="3"/>
      <c r="B173" s="3"/>
      <c r="C173" s="2"/>
      <c r="D173" s="88"/>
      <c r="E173" s="3"/>
      <c r="F173" s="3"/>
      <c r="G173" s="3"/>
      <c r="H173" s="3"/>
      <c r="I173" s="3"/>
      <c r="J173" s="3"/>
      <c r="K173" s="2"/>
      <c r="L173" s="3"/>
      <c r="M173" s="3"/>
      <c r="N173" s="3"/>
      <c r="O173" s="6"/>
      <c r="P173" s="3"/>
      <c r="Q173" s="3"/>
      <c r="R173" s="3"/>
      <c r="S173" s="88"/>
      <c r="T173" s="3"/>
      <c r="U173" s="3"/>
      <c r="V173" s="3"/>
      <c r="W173" s="6"/>
      <c r="X173" s="6"/>
      <c r="Y173" s="6"/>
      <c r="Z173" s="6"/>
    </row>
    <row r="174" spans="1:26">
      <c r="A174" s="3"/>
      <c r="B174" s="3"/>
      <c r="C174" s="2"/>
      <c r="D174" s="88"/>
      <c r="E174" s="3"/>
      <c r="F174" s="3"/>
      <c r="G174" s="3"/>
      <c r="H174" s="3"/>
      <c r="I174" s="3"/>
      <c r="J174" s="3"/>
      <c r="K174" s="2"/>
      <c r="L174" s="3"/>
      <c r="M174" s="3"/>
      <c r="N174" s="3"/>
      <c r="O174" s="6"/>
      <c r="P174" s="3"/>
      <c r="Q174" s="3"/>
      <c r="R174" s="3"/>
      <c r="S174" s="88"/>
      <c r="T174" s="3"/>
      <c r="U174" s="3"/>
      <c r="V174" s="3"/>
      <c r="W174" s="6"/>
      <c r="X174" s="6"/>
      <c r="Y174" s="6"/>
      <c r="Z174" s="6"/>
    </row>
    <row r="175" spans="1:26">
      <c r="A175" s="3"/>
      <c r="B175" s="3"/>
      <c r="C175" s="2"/>
      <c r="D175" s="88"/>
      <c r="E175" s="3"/>
      <c r="F175" s="3"/>
      <c r="G175" s="3"/>
      <c r="H175" s="3"/>
      <c r="I175" s="3"/>
      <c r="J175" s="3"/>
      <c r="K175" s="2"/>
      <c r="L175" s="3"/>
      <c r="M175" s="3"/>
      <c r="N175" s="3"/>
      <c r="O175" s="6"/>
      <c r="P175" s="3"/>
      <c r="Q175" s="3"/>
      <c r="R175" s="3"/>
      <c r="S175" s="88"/>
      <c r="T175" s="3"/>
      <c r="U175" s="3"/>
      <c r="V175" s="3"/>
      <c r="W175" s="6"/>
      <c r="X175" s="6"/>
      <c r="Y175" s="6"/>
      <c r="Z175" s="6"/>
    </row>
    <row r="176" spans="1:26">
      <c r="A176" s="3"/>
      <c r="B176" s="3"/>
      <c r="C176" s="2"/>
      <c r="D176" s="88"/>
      <c r="E176" s="3"/>
      <c r="F176" s="3"/>
      <c r="G176" s="3"/>
      <c r="H176" s="3"/>
      <c r="I176" s="3"/>
      <c r="J176" s="3"/>
      <c r="K176" s="2"/>
      <c r="L176" s="3"/>
      <c r="M176" s="3"/>
      <c r="N176" s="3"/>
      <c r="O176" s="6"/>
      <c r="P176" s="3"/>
      <c r="Q176" s="3"/>
      <c r="R176" s="3"/>
      <c r="S176" s="88"/>
      <c r="T176" s="3"/>
      <c r="U176" s="3"/>
      <c r="V176" s="3"/>
      <c r="W176" s="6"/>
      <c r="X176" s="6"/>
      <c r="Y176" s="6"/>
      <c r="Z176" s="6"/>
    </row>
    <row r="177" spans="1:26">
      <c r="A177" s="3"/>
      <c r="B177" s="3"/>
      <c r="C177" s="2"/>
      <c r="D177" s="88"/>
      <c r="E177" s="3"/>
      <c r="F177" s="3"/>
      <c r="G177" s="3"/>
      <c r="H177" s="3"/>
      <c r="I177" s="3"/>
      <c r="J177" s="3"/>
      <c r="K177" s="2"/>
      <c r="L177" s="3"/>
      <c r="M177" s="3"/>
      <c r="N177" s="3"/>
      <c r="O177" s="6"/>
      <c r="P177" s="3"/>
      <c r="Q177" s="3"/>
      <c r="R177" s="3"/>
      <c r="S177" s="88"/>
      <c r="T177" s="3"/>
      <c r="U177" s="3"/>
      <c r="V177" s="3"/>
      <c r="W177" s="6"/>
      <c r="X177" s="6"/>
      <c r="Y177" s="6"/>
      <c r="Z177" s="6"/>
    </row>
    <row r="178" spans="1:26">
      <c r="A178" s="3"/>
      <c r="B178" s="3"/>
      <c r="C178" s="2"/>
      <c r="D178" s="88"/>
      <c r="E178" s="3"/>
      <c r="F178" s="3"/>
      <c r="G178" s="3"/>
      <c r="H178" s="3"/>
      <c r="I178" s="3"/>
      <c r="J178" s="3"/>
      <c r="K178" s="2"/>
      <c r="L178" s="3"/>
      <c r="M178" s="3"/>
      <c r="N178" s="3"/>
      <c r="O178" s="6"/>
      <c r="P178" s="3"/>
      <c r="Q178" s="3"/>
      <c r="R178" s="3"/>
      <c r="S178" s="88"/>
      <c r="T178" s="3"/>
      <c r="U178" s="3"/>
      <c r="V178" s="3"/>
      <c r="W178" s="6"/>
      <c r="X178" s="6"/>
      <c r="Y178" s="6"/>
      <c r="Z178" s="6"/>
    </row>
    <row r="179" spans="1:26">
      <c r="A179" s="3"/>
      <c r="B179" s="3"/>
      <c r="C179" s="2"/>
      <c r="D179" s="88"/>
      <c r="E179" s="3"/>
      <c r="F179" s="3"/>
      <c r="G179" s="3"/>
      <c r="H179" s="3"/>
      <c r="I179" s="3"/>
      <c r="J179" s="3"/>
      <c r="K179" s="2"/>
      <c r="L179" s="3"/>
      <c r="M179" s="3"/>
      <c r="N179" s="3"/>
      <c r="O179" s="6"/>
      <c r="P179" s="3"/>
      <c r="Q179" s="3"/>
      <c r="R179" s="3"/>
      <c r="S179" s="88"/>
      <c r="T179" s="3"/>
      <c r="U179" s="3"/>
      <c r="V179" s="3"/>
      <c r="W179" s="6"/>
      <c r="X179" s="6"/>
      <c r="Y179" s="6"/>
      <c r="Z179" s="6"/>
    </row>
    <row r="180" spans="1:26">
      <c r="A180" s="3"/>
      <c r="B180" s="3"/>
      <c r="C180" s="2"/>
      <c r="D180" s="88"/>
      <c r="E180" s="3"/>
      <c r="F180" s="3"/>
      <c r="G180" s="3"/>
      <c r="H180" s="3"/>
      <c r="I180" s="3"/>
      <c r="J180" s="3"/>
      <c r="K180" s="2"/>
      <c r="L180" s="3"/>
      <c r="M180" s="3"/>
      <c r="N180" s="3"/>
      <c r="O180" s="6"/>
      <c r="P180" s="3"/>
      <c r="Q180" s="3"/>
      <c r="R180" s="3"/>
      <c r="S180" s="88"/>
      <c r="T180" s="3"/>
      <c r="U180" s="3"/>
      <c r="V180" s="3"/>
      <c r="W180" s="6"/>
      <c r="X180" s="6"/>
      <c r="Y180" s="6"/>
      <c r="Z180" s="6"/>
    </row>
    <row r="181" spans="1:26">
      <c r="A181" s="3"/>
      <c r="B181" s="3"/>
      <c r="C181" s="2"/>
      <c r="D181" s="88"/>
      <c r="E181" s="3"/>
      <c r="F181" s="3"/>
      <c r="G181" s="3"/>
      <c r="H181" s="3"/>
      <c r="I181" s="3"/>
      <c r="J181" s="3"/>
      <c r="K181" s="2"/>
      <c r="L181" s="3"/>
      <c r="M181" s="3"/>
      <c r="N181" s="3"/>
      <c r="O181" s="6"/>
      <c r="P181" s="3"/>
      <c r="Q181" s="3"/>
      <c r="R181" s="3"/>
      <c r="S181" s="88"/>
      <c r="T181" s="3"/>
      <c r="U181" s="3"/>
      <c r="V181" s="3"/>
      <c r="W181" s="6"/>
      <c r="X181" s="6"/>
      <c r="Y181" s="6"/>
      <c r="Z181" s="6"/>
    </row>
    <row r="182" spans="1:26">
      <c r="A182" s="3"/>
      <c r="B182" s="3"/>
      <c r="C182" s="2"/>
      <c r="D182" s="88"/>
      <c r="E182" s="3"/>
      <c r="F182" s="3"/>
      <c r="G182" s="3"/>
      <c r="H182" s="3"/>
      <c r="I182" s="3"/>
      <c r="J182" s="3"/>
      <c r="K182" s="2"/>
      <c r="L182" s="3"/>
      <c r="M182" s="3"/>
      <c r="N182" s="3"/>
      <c r="O182" s="6"/>
      <c r="P182" s="3"/>
      <c r="Q182" s="3"/>
      <c r="R182" s="3"/>
      <c r="S182" s="88"/>
      <c r="T182" s="3"/>
      <c r="U182" s="3"/>
      <c r="V182" s="3"/>
      <c r="W182" s="6"/>
      <c r="X182" s="6"/>
      <c r="Y182" s="6"/>
      <c r="Z182" s="6"/>
    </row>
    <row r="183" spans="1:26">
      <c r="A183" s="3"/>
      <c r="B183" s="3"/>
      <c r="C183" s="2"/>
      <c r="D183" s="88"/>
      <c r="E183" s="3"/>
      <c r="F183" s="3"/>
      <c r="G183" s="3"/>
      <c r="H183" s="3"/>
      <c r="I183" s="3"/>
      <c r="J183" s="3"/>
      <c r="K183" s="2"/>
      <c r="L183" s="3"/>
      <c r="M183" s="3"/>
      <c r="N183" s="3"/>
      <c r="O183" s="6"/>
      <c r="P183" s="3"/>
      <c r="Q183" s="3"/>
      <c r="R183" s="3"/>
      <c r="S183" s="88"/>
      <c r="T183" s="3"/>
      <c r="U183" s="3"/>
      <c r="V183" s="3"/>
      <c r="W183" s="6"/>
      <c r="X183" s="6"/>
      <c r="Y183" s="6"/>
      <c r="Z183" s="6"/>
    </row>
    <row r="184" spans="1:26">
      <c r="A184" s="3"/>
      <c r="B184" s="3"/>
      <c r="C184" s="2"/>
      <c r="D184" s="88"/>
      <c r="E184" s="3"/>
      <c r="F184" s="3"/>
      <c r="G184" s="3"/>
      <c r="H184" s="3"/>
      <c r="I184" s="3"/>
      <c r="J184" s="3"/>
      <c r="K184" s="2"/>
      <c r="L184" s="3"/>
      <c r="M184" s="3"/>
      <c r="N184" s="3"/>
      <c r="O184" s="6"/>
      <c r="P184" s="3"/>
      <c r="Q184" s="3"/>
      <c r="R184" s="3"/>
      <c r="S184" s="88"/>
      <c r="T184" s="3"/>
      <c r="U184" s="3"/>
      <c r="V184" s="3"/>
      <c r="W184" s="6"/>
      <c r="X184" s="6"/>
      <c r="Y184" s="6"/>
      <c r="Z184" s="6"/>
    </row>
    <row r="185" spans="1:26">
      <c r="A185" s="3"/>
      <c r="B185" s="3"/>
      <c r="C185" s="2"/>
      <c r="D185" s="88"/>
      <c r="E185" s="3"/>
      <c r="F185" s="3"/>
      <c r="G185" s="3"/>
      <c r="H185" s="3"/>
      <c r="I185" s="3"/>
      <c r="J185" s="3"/>
      <c r="K185" s="2"/>
      <c r="L185" s="3"/>
      <c r="M185" s="3"/>
      <c r="N185" s="3"/>
      <c r="O185" s="6"/>
      <c r="P185" s="3"/>
      <c r="Q185" s="3"/>
      <c r="R185" s="3"/>
      <c r="S185" s="88"/>
      <c r="T185" s="3"/>
      <c r="U185" s="3"/>
      <c r="V185" s="3"/>
      <c r="W185" s="6"/>
      <c r="X185" s="6"/>
      <c r="Y185" s="6"/>
      <c r="Z185" s="6"/>
    </row>
    <row r="186" spans="1:26">
      <c r="A186" s="3"/>
      <c r="B186" s="3"/>
      <c r="C186" s="2"/>
      <c r="D186" s="88"/>
      <c r="E186" s="3"/>
      <c r="F186" s="3"/>
      <c r="G186" s="3"/>
      <c r="H186" s="3"/>
      <c r="I186" s="3"/>
      <c r="J186" s="3"/>
      <c r="K186" s="2"/>
      <c r="L186" s="3"/>
      <c r="M186" s="3"/>
      <c r="N186" s="3"/>
      <c r="O186" s="6"/>
      <c r="P186" s="3"/>
      <c r="Q186" s="3"/>
      <c r="R186" s="3"/>
      <c r="S186" s="88"/>
      <c r="T186" s="3"/>
      <c r="U186" s="3"/>
      <c r="V186" s="3"/>
      <c r="W186" s="6"/>
      <c r="X186" s="6"/>
      <c r="Y186" s="6"/>
      <c r="Z186" s="6"/>
    </row>
    <row r="187" spans="1:26">
      <c r="A187" s="3"/>
      <c r="B187" s="3"/>
      <c r="C187" s="2"/>
      <c r="D187" s="88"/>
      <c r="E187" s="3"/>
      <c r="F187" s="3"/>
      <c r="G187" s="3"/>
      <c r="H187" s="3"/>
      <c r="I187" s="3"/>
      <c r="J187" s="3"/>
      <c r="K187" s="2"/>
      <c r="L187" s="3"/>
      <c r="M187" s="3"/>
      <c r="N187" s="3"/>
      <c r="O187" s="6"/>
      <c r="P187" s="3"/>
      <c r="Q187" s="3"/>
      <c r="R187" s="3"/>
      <c r="S187" s="88"/>
      <c r="T187" s="3"/>
      <c r="U187" s="3"/>
      <c r="V187" s="3"/>
      <c r="W187" s="6"/>
      <c r="X187" s="6"/>
      <c r="Y187" s="6"/>
      <c r="Z187" s="6"/>
    </row>
    <row r="188" spans="1:26">
      <c r="A188" s="3"/>
      <c r="B188" s="3"/>
      <c r="C188" s="2"/>
      <c r="D188" s="88"/>
      <c r="E188" s="3"/>
      <c r="F188" s="3"/>
      <c r="G188" s="3"/>
      <c r="H188" s="3"/>
      <c r="I188" s="3"/>
      <c r="J188" s="3"/>
      <c r="K188" s="2"/>
      <c r="L188" s="3"/>
      <c r="M188" s="3"/>
      <c r="N188" s="3"/>
      <c r="O188" s="6"/>
      <c r="P188" s="3"/>
      <c r="Q188" s="3"/>
      <c r="R188" s="3"/>
      <c r="S188" s="88"/>
      <c r="T188" s="3"/>
      <c r="U188" s="3"/>
      <c r="V188" s="3"/>
      <c r="W188" s="6"/>
      <c r="X188" s="6"/>
      <c r="Y188" s="6"/>
      <c r="Z188" s="6"/>
    </row>
    <row r="189" spans="1:26">
      <c r="A189" s="3"/>
      <c r="B189" s="3"/>
      <c r="C189" s="2"/>
      <c r="D189" s="88"/>
      <c r="E189" s="3"/>
      <c r="F189" s="3"/>
      <c r="G189" s="3"/>
      <c r="H189" s="3"/>
      <c r="I189" s="3"/>
      <c r="J189" s="3"/>
      <c r="K189" s="2"/>
      <c r="L189" s="3"/>
      <c r="M189" s="3"/>
      <c r="N189" s="3"/>
      <c r="O189" s="6"/>
      <c r="P189" s="3"/>
      <c r="Q189" s="3"/>
      <c r="R189" s="3"/>
      <c r="S189" s="88"/>
      <c r="T189" s="3"/>
      <c r="U189" s="3"/>
      <c r="V189" s="3"/>
      <c r="W189" s="6"/>
      <c r="X189" s="6"/>
      <c r="Y189" s="6"/>
      <c r="Z189" s="6"/>
    </row>
    <row r="190" spans="1:26">
      <c r="A190" s="3"/>
      <c r="B190" s="3"/>
      <c r="C190" s="2"/>
      <c r="D190" s="88"/>
      <c r="E190" s="3"/>
      <c r="F190" s="3"/>
      <c r="G190" s="3"/>
      <c r="H190" s="3"/>
      <c r="I190" s="3"/>
      <c r="J190" s="3"/>
      <c r="K190" s="2"/>
      <c r="L190" s="3"/>
      <c r="M190" s="3"/>
      <c r="N190" s="3"/>
      <c r="O190" s="6"/>
      <c r="P190" s="3"/>
      <c r="Q190" s="3"/>
      <c r="R190" s="3"/>
      <c r="S190" s="88"/>
      <c r="T190" s="3"/>
      <c r="U190" s="3"/>
      <c r="V190" s="3"/>
      <c r="W190" s="6"/>
      <c r="X190" s="6"/>
      <c r="Y190" s="6"/>
      <c r="Z190" s="6"/>
    </row>
    <row r="191" spans="1:26">
      <c r="A191" s="3"/>
      <c r="B191" s="3"/>
      <c r="C191" s="2"/>
      <c r="D191" s="88"/>
      <c r="E191" s="3"/>
      <c r="F191" s="3"/>
      <c r="G191" s="3"/>
      <c r="H191" s="3"/>
      <c r="I191" s="3"/>
      <c r="J191" s="3"/>
      <c r="K191" s="2"/>
      <c r="L191" s="3"/>
      <c r="M191" s="3"/>
      <c r="N191" s="3"/>
      <c r="O191" s="6"/>
      <c r="P191" s="3"/>
      <c r="Q191" s="3"/>
      <c r="R191" s="3"/>
      <c r="S191" s="88"/>
      <c r="T191" s="3"/>
      <c r="U191" s="3"/>
      <c r="V191" s="3"/>
      <c r="W191" s="6"/>
      <c r="X191" s="6"/>
      <c r="Y191" s="6"/>
      <c r="Z191" s="6"/>
    </row>
    <row r="192" spans="1:26">
      <c r="A192" s="3"/>
      <c r="B192" s="3"/>
      <c r="C192" s="2"/>
      <c r="D192" s="88"/>
      <c r="E192" s="3"/>
      <c r="F192" s="3"/>
      <c r="G192" s="3"/>
      <c r="H192" s="3"/>
      <c r="I192" s="3"/>
      <c r="J192" s="3"/>
      <c r="K192" s="2"/>
      <c r="L192" s="3"/>
      <c r="M192" s="3"/>
      <c r="N192" s="3"/>
      <c r="O192" s="6"/>
      <c r="P192" s="3"/>
      <c r="Q192" s="3"/>
      <c r="R192" s="3"/>
      <c r="S192" s="88"/>
      <c r="T192" s="3"/>
      <c r="U192" s="3"/>
      <c r="V192" s="3"/>
      <c r="W192" s="6"/>
      <c r="X192" s="6"/>
      <c r="Y192" s="6"/>
      <c r="Z192" s="6"/>
    </row>
    <row r="193" spans="1:15">
      <c r="A193" s="3"/>
      <c r="B193" s="3"/>
      <c r="C193" s="2"/>
      <c r="D193" s="88"/>
      <c r="E193" s="3"/>
      <c r="F193" s="3"/>
      <c r="G193" s="3"/>
      <c r="H193" s="3"/>
      <c r="I193" s="3"/>
      <c r="J193" s="3"/>
      <c r="K193" s="2"/>
      <c r="L193" s="3"/>
      <c r="M193" s="3"/>
      <c r="N193" s="3"/>
      <c r="O193" s="6"/>
    </row>
    <row r="194" spans="1:15">
      <c r="A194" s="3"/>
      <c r="B194" s="3"/>
      <c r="C194" s="2"/>
      <c r="D194" s="88"/>
      <c r="E194" s="3"/>
      <c r="F194" s="3"/>
      <c r="G194" s="3"/>
      <c r="H194" s="3"/>
      <c r="I194" s="3"/>
      <c r="J194" s="3"/>
      <c r="K194" s="2"/>
      <c r="L194" s="3"/>
      <c r="M194" s="3"/>
      <c r="N194" s="3"/>
      <c r="O194" s="6"/>
    </row>
  </sheetData>
  <dataConsolidate/>
  <mergeCells count="28">
    <mergeCell ref="AC9:AC11"/>
    <mergeCell ref="U9:U11"/>
    <mergeCell ref="V9:V11"/>
    <mergeCell ref="W9:W11"/>
    <mergeCell ref="X9:X11"/>
    <mergeCell ref="AA9:AA11"/>
    <mergeCell ref="AB9:AB11"/>
    <mergeCell ref="A7:C7"/>
    <mergeCell ref="D7:T7"/>
    <mergeCell ref="A9:A11"/>
    <mergeCell ref="B9:B11"/>
    <mergeCell ref="C9:C11"/>
    <mergeCell ref="D9:D11"/>
    <mergeCell ref="E9:E11"/>
    <mergeCell ref="F9:T9"/>
    <mergeCell ref="A5:C5"/>
    <mergeCell ref="E5:I5"/>
    <mergeCell ref="J5:T5"/>
    <mergeCell ref="A6:C6"/>
    <mergeCell ref="E6:I6"/>
    <mergeCell ref="J6:T6"/>
    <mergeCell ref="A4:C4"/>
    <mergeCell ref="E4:T4"/>
    <mergeCell ref="A2:C2"/>
    <mergeCell ref="E2:I2"/>
    <mergeCell ref="J2:T2"/>
    <mergeCell ref="A3:C3"/>
    <mergeCell ref="E3:T3"/>
  </mergeCells>
  <phoneticPr fontId="45"/>
  <conditionalFormatting sqref="B27 B16:B25 B28:AC115 AB16:AC27">
    <cfRule type="expression" dxfId="313" priority="314">
      <formula>NOT(ISBLANK(INDIRECT("RC28",FALSE)))</formula>
    </cfRule>
  </conditionalFormatting>
  <conditionalFormatting sqref="C28:AC115 AB16:AC27">
    <cfRule type="expression" dxfId="312" priority="313" stopIfTrue="1">
      <formula>AND(ISBLANK(INDIRECT("RC2",FALSE)),NOT(ISBLANK(INDIRECT("RC3",FALSE))))</formula>
    </cfRule>
  </conditionalFormatting>
  <conditionalFormatting sqref="B26 AB26:AC26">
    <cfRule type="expression" dxfId="311" priority="312">
      <formula>NOT(ISBLANK(INDIRECT("RC28",FALSE)))</formula>
    </cfRule>
  </conditionalFormatting>
  <conditionalFormatting sqref="AB26:AC26">
    <cfRule type="expression" dxfId="310" priority="311" stopIfTrue="1">
      <formula>AND(ISBLANK(INDIRECT("RC2",FALSE)),NOT(ISBLANK(INDIRECT("RC3",FALSE))))</formula>
    </cfRule>
  </conditionalFormatting>
  <conditionalFormatting sqref="AA19">
    <cfRule type="expression" dxfId="309" priority="181">
      <formula>NOT(ISBLANK(INDIRECT("RC28",FALSE)))</formula>
    </cfRule>
  </conditionalFormatting>
  <conditionalFormatting sqref="AA19">
    <cfRule type="expression" dxfId="308" priority="182" stopIfTrue="1">
      <formula>AND(ISBLANK(INDIRECT("RC2",FALSE)),NOT(ISBLANK(INDIRECT("RC3",FALSE))))</formula>
    </cfRule>
  </conditionalFormatting>
  <conditionalFormatting sqref="C16:T16 V16:AA16 D17:V22 C17:C20 X17:AA22 W17:W20">
    <cfRule type="expression" dxfId="307" priority="297">
      <formula>NOT(ISBLANK(INDIRECT("RC28",FALSE)))</formula>
    </cfRule>
  </conditionalFormatting>
  <conditionalFormatting sqref="C16:T16 V16:AA16 D17:V22 C17:C20 X17:AA22 W17:W20">
    <cfRule type="expression" dxfId="306" priority="298" stopIfTrue="1">
      <formula>AND(ISBLANK(INDIRECT("RC2",FALSE)),NOT(ISBLANK(INDIRECT("RC3",FALSE))))</formula>
    </cfRule>
  </conditionalFormatting>
  <conditionalFormatting sqref="E19:AA20 E21:V21 D20:D21 V18:W18 AA21:AA22 X21:Z21">
    <cfRule type="expression" dxfId="305" priority="299">
      <formula>NOT(ISBLANK(INDIRECT("RC28",FALSE)))</formula>
    </cfRule>
  </conditionalFormatting>
  <conditionalFormatting sqref="E19:AA20 E21:V21 D20:D21 V18:W18 AA21:AA22 X21:Z21">
    <cfRule type="expression" dxfId="304" priority="300" stopIfTrue="1">
      <formula>AND(ISBLANK(INDIRECT("RC2",FALSE)),NOT(ISBLANK(INDIRECT("RC3",FALSE))))</formula>
    </cfRule>
  </conditionalFormatting>
  <conditionalFormatting sqref="C19:D19">
    <cfRule type="expression" dxfId="303" priority="301" stopIfTrue="1">
      <formula>AND(ISBLANK(INDIRECT("RC2",FALSE)),NOT(ISBLANK(INDIRECT("RC3",FALSE))))</formula>
    </cfRule>
  </conditionalFormatting>
  <conditionalFormatting sqref="C19:D19">
    <cfRule type="expression" dxfId="302" priority="302">
      <formula>NOT(ISBLANK(INDIRECT("RC28",FALSE)))</formula>
    </cfRule>
  </conditionalFormatting>
  <conditionalFormatting sqref="D20">
    <cfRule type="expression" dxfId="301" priority="303" stopIfTrue="1">
      <formula>AND(ISBLANK(INDIRECT("RC2",FALSE)),NOT(ISBLANK(INDIRECT("RC3",FALSE))))</formula>
    </cfRule>
  </conditionalFormatting>
  <conditionalFormatting sqref="D20">
    <cfRule type="expression" dxfId="300" priority="304">
      <formula>NOT(ISBLANK(INDIRECT("RC28",FALSE)))</formula>
    </cfRule>
  </conditionalFormatting>
  <conditionalFormatting sqref="E17:AA18 E19:U19 C18:D19 W19:AA19 V16 V19:V20">
    <cfRule type="expression" dxfId="299" priority="305">
      <formula>NOT(ISBLANK(INDIRECT("RC28",FALSE)))</formula>
    </cfRule>
  </conditionalFormatting>
  <conditionalFormatting sqref="E17:AA17 C18:AA19 V16 V20">
    <cfRule type="expression" dxfId="298" priority="306" stopIfTrue="1">
      <formula>AND(ISBLANK(INDIRECT("RC2",FALSE)),NOT(ISBLANK(INDIRECT("RC3",FALSE))))</formula>
    </cfRule>
  </conditionalFormatting>
  <conditionalFormatting sqref="C17:D17">
    <cfRule type="expression" dxfId="297" priority="307" stopIfTrue="1">
      <formula>AND(ISBLANK(INDIRECT("RC2",FALSE)),NOT(ISBLANK(INDIRECT("RC3",FALSE))))</formula>
    </cfRule>
  </conditionalFormatting>
  <conditionalFormatting sqref="C17:D17">
    <cfRule type="expression" dxfId="296" priority="308">
      <formula>NOT(ISBLANK(INDIRECT("RC28",FALSE)))</formula>
    </cfRule>
  </conditionalFormatting>
  <conditionalFormatting sqref="C18:D18">
    <cfRule type="expression" dxfId="295" priority="309" stopIfTrue="1">
      <formula>AND(ISBLANK(INDIRECT("RC2",FALSE)),NOT(ISBLANK(INDIRECT("RC3",FALSE))))</formula>
    </cfRule>
  </conditionalFormatting>
  <conditionalFormatting sqref="C18:D18">
    <cfRule type="expression" dxfId="294" priority="310">
      <formula>NOT(ISBLANK(INDIRECT("RC28",FALSE)))</formula>
    </cfRule>
  </conditionalFormatting>
  <conditionalFormatting sqref="B14:T14 B12 AB12:AC12 V14:AC14 B15">
    <cfRule type="expression" dxfId="293" priority="296">
      <formula>NOT(ISBLANK(INDIRECT("RC28",FALSE)))</formula>
    </cfRule>
  </conditionalFormatting>
  <conditionalFormatting sqref="C14:T14 AB12:AC12 V14:AC14">
    <cfRule type="expression" dxfId="292" priority="295" stopIfTrue="1">
      <formula>AND(ISBLANK(INDIRECT("RC2",FALSE)),NOT(ISBLANK(INDIRECT("RC3",FALSE))))</formula>
    </cfRule>
  </conditionalFormatting>
  <conditionalFormatting sqref="C12:AA12 C14:T14 V14:AA14">
    <cfRule type="expression" dxfId="291" priority="293">
      <formula>NOT(ISBLANK(INDIRECT("RC28",FALSE)))</formula>
    </cfRule>
  </conditionalFormatting>
  <conditionalFormatting sqref="C12:AA12 C14:T14 V14:AA14">
    <cfRule type="expression" dxfId="290" priority="294" stopIfTrue="1">
      <formula>AND(ISBLANK(INDIRECT("RC2",FALSE)),NOT(ISBLANK(INDIRECT("RC3",FALSE))))</formula>
    </cfRule>
  </conditionalFormatting>
  <conditionalFormatting sqref="AA14">
    <cfRule type="expression" dxfId="289" priority="292">
      <formula>NOT(ISBLANK(INDIRECT("RC28",FALSE)))</formula>
    </cfRule>
  </conditionalFormatting>
  <conditionalFormatting sqref="AA14">
    <cfRule type="expression" dxfId="288" priority="291" stopIfTrue="1">
      <formula>AND(ISBLANK(INDIRECT("RC2",FALSE)),NOT(ISBLANK(INDIRECT("RC3",FALSE))))</formula>
    </cfRule>
  </conditionalFormatting>
  <conditionalFormatting sqref="U14">
    <cfRule type="expression" dxfId="287" priority="289">
      <formula>NOT(ISBLANK(INDIRECT("RC28",FALSE)))</formula>
    </cfRule>
  </conditionalFormatting>
  <conditionalFormatting sqref="U14">
    <cfRule type="expression" dxfId="286" priority="290" stopIfTrue="1">
      <formula>AND(ISBLANK(INDIRECT("RC2",FALSE)),NOT(ISBLANK(INDIRECT("RC3",FALSE))))</formula>
    </cfRule>
  </conditionalFormatting>
  <conditionalFormatting sqref="U16">
    <cfRule type="expression" dxfId="285" priority="287">
      <formula>NOT(ISBLANK(INDIRECT("RC28",FALSE)))</formula>
    </cfRule>
  </conditionalFormatting>
  <conditionalFormatting sqref="U16">
    <cfRule type="expression" dxfId="284" priority="288" stopIfTrue="1">
      <formula>AND(ISBLANK(INDIRECT("RC2",FALSE)),NOT(ISBLANK(INDIRECT("RC3",FALSE))))</formula>
    </cfRule>
  </conditionalFormatting>
  <conditionalFormatting sqref="V20">
    <cfRule type="expression" dxfId="283" priority="285">
      <formula>NOT(ISBLANK(INDIRECT("RC28",FALSE)))</formula>
    </cfRule>
  </conditionalFormatting>
  <conditionalFormatting sqref="V20">
    <cfRule type="expression" dxfId="282" priority="286" stopIfTrue="1">
      <formula>AND(ISBLANK(INDIRECT("RC2",FALSE)),NOT(ISBLANK(INDIRECT("RC3",FALSE))))</formula>
    </cfRule>
  </conditionalFormatting>
  <conditionalFormatting sqref="C23:AA28 E22:T22 X22:AA22">
    <cfRule type="expression" dxfId="281" priority="284">
      <formula>NOT(ISBLANK(INDIRECT("RC28",FALSE)))</formula>
    </cfRule>
  </conditionalFormatting>
  <conditionalFormatting sqref="C23:AA28 E22:T22 X22:AA22">
    <cfRule type="expression" dxfId="280" priority="283" stopIfTrue="1">
      <formula>AND(ISBLANK(INDIRECT("RC2",FALSE)),NOT(ISBLANK(INDIRECT("RC3",FALSE))))</formula>
    </cfRule>
  </conditionalFormatting>
  <conditionalFormatting sqref="B13:T13 V13:AC13">
    <cfRule type="expression" dxfId="279" priority="282">
      <formula>NOT(ISBLANK(INDIRECT("RC28",FALSE)))</formula>
    </cfRule>
  </conditionalFormatting>
  <conditionalFormatting sqref="C13:T13 V13:AC13">
    <cfRule type="expression" dxfId="278" priority="281" stopIfTrue="1">
      <formula>AND(ISBLANK(INDIRECT("RC2",FALSE)),NOT(ISBLANK(INDIRECT("RC3",FALSE))))</formula>
    </cfRule>
  </conditionalFormatting>
  <conditionalFormatting sqref="C13:T13 V13:AA13">
    <cfRule type="expression" dxfId="277" priority="279">
      <formula>NOT(ISBLANK(INDIRECT("RC28",FALSE)))</formula>
    </cfRule>
  </conditionalFormatting>
  <conditionalFormatting sqref="C13:T13 V13:AA13">
    <cfRule type="expression" dxfId="276" priority="280" stopIfTrue="1">
      <formula>AND(ISBLANK(INDIRECT("RC2",FALSE)),NOT(ISBLANK(INDIRECT("RC3",FALSE))))</formula>
    </cfRule>
  </conditionalFormatting>
  <conditionalFormatting sqref="AA13">
    <cfRule type="expression" dxfId="275" priority="278">
      <formula>NOT(ISBLANK(INDIRECT("RC28",FALSE)))</formula>
    </cfRule>
  </conditionalFormatting>
  <conditionalFormatting sqref="AA13">
    <cfRule type="expression" dxfId="274" priority="277" stopIfTrue="1">
      <formula>AND(ISBLANK(INDIRECT("RC2",FALSE)),NOT(ISBLANK(INDIRECT("RC3",FALSE))))</formula>
    </cfRule>
  </conditionalFormatting>
  <conditionalFormatting sqref="U13">
    <cfRule type="expression" dxfId="273" priority="275">
      <formula>NOT(ISBLANK(INDIRECT("RC28",FALSE)))</formula>
    </cfRule>
  </conditionalFormatting>
  <conditionalFormatting sqref="U13">
    <cfRule type="expression" dxfId="272" priority="276" stopIfTrue="1">
      <formula>AND(ISBLANK(INDIRECT("RC2",FALSE)),NOT(ISBLANK(INDIRECT("RC3",FALSE))))</formula>
    </cfRule>
  </conditionalFormatting>
  <conditionalFormatting sqref="D18">
    <cfRule type="expression" dxfId="271" priority="273" stopIfTrue="1">
      <formula>AND(ISBLANK(INDIRECT("RC2",FALSE)),NOT(ISBLANK(INDIRECT("RC3",FALSE))))</formula>
    </cfRule>
  </conditionalFormatting>
  <conditionalFormatting sqref="D18">
    <cfRule type="expression" dxfId="270" priority="274">
      <formula>NOT(ISBLANK(INDIRECT("RC28",FALSE)))</formula>
    </cfRule>
  </conditionalFormatting>
  <conditionalFormatting sqref="D19">
    <cfRule type="expression" dxfId="269" priority="269">
      <formula>NOT(ISBLANK(INDIRECT("RC28",FALSE)))</formula>
    </cfRule>
  </conditionalFormatting>
  <conditionalFormatting sqref="D19">
    <cfRule type="expression" dxfId="268" priority="270" stopIfTrue="1">
      <formula>AND(ISBLANK(INDIRECT("RC2",FALSE)),NOT(ISBLANK(INDIRECT("RC3",FALSE))))</formula>
    </cfRule>
  </conditionalFormatting>
  <conditionalFormatting sqref="D19">
    <cfRule type="expression" dxfId="267" priority="271" stopIfTrue="1">
      <formula>AND(ISBLANK(INDIRECT("RC2",FALSE)),NOT(ISBLANK(INDIRECT("RC3",FALSE))))</formula>
    </cfRule>
  </conditionalFormatting>
  <conditionalFormatting sqref="D19">
    <cfRule type="expression" dxfId="266" priority="272">
      <formula>NOT(ISBLANK(INDIRECT("RC28",FALSE)))</formula>
    </cfRule>
  </conditionalFormatting>
  <conditionalFormatting sqref="D19">
    <cfRule type="expression" dxfId="265" priority="267" stopIfTrue="1">
      <formula>AND(ISBLANK(INDIRECT("RC2",FALSE)),NOT(ISBLANK(INDIRECT("RC3",FALSE))))</formula>
    </cfRule>
  </conditionalFormatting>
  <conditionalFormatting sqref="D19">
    <cfRule type="expression" dxfId="264" priority="268">
      <formula>NOT(ISBLANK(INDIRECT("RC28",FALSE)))</formula>
    </cfRule>
  </conditionalFormatting>
  <conditionalFormatting sqref="D18">
    <cfRule type="expression" dxfId="263" priority="265" stopIfTrue="1">
      <formula>AND(ISBLANK(INDIRECT("RC2",FALSE)),NOT(ISBLANK(INDIRECT("RC3",FALSE))))</formula>
    </cfRule>
  </conditionalFormatting>
  <conditionalFormatting sqref="D18">
    <cfRule type="expression" dxfId="262" priority="266">
      <formula>NOT(ISBLANK(INDIRECT("RC28",FALSE)))</formula>
    </cfRule>
  </conditionalFormatting>
  <conditionalFormatting sqref="D18">
    <cfRule type="expression" dxfId="261" priority="259" stopIfTrue="1">
      <formula>AND(ISBLANK(INDIRECT("RC2",FALSE)),NOT(ISBLANK(INDIRECT("RC3",FALSE))))</formula>
    </cfRule>
  </conditionalFormatting>
  <conditionalFormatting sqref="D18">
    <cfRule type="expression" dxfId="260" priority="260">
      <formula>NOT(ISBLANK(INDIRECT("RC28",FALSE)))</formula>
    </cfRule>
  </conditionalFormatting>
  <conditionalFormatting sqref="D17">
    <cfRule type="expression" dxfId="259" priority="261">
      <formula>NOT(ISBLANK(INDIRECT("RC28",FALSE)))</formula>
    </cfRule>
  </conditionalFormatting>
  <conditionalFormatting sqref="D17">
    <cfRule type="expression" dxfId="258" priority="262" stopIfTrue="1">
      <formula>AND(ISBLANK(INDIRECT("RC2",FALSE)),NOT(ISBLANK(INDIRECT("RC3",FALSE))))</formula>
    </cfRule>
  </conditionalFormatting>
  <conditionalFormatting sqref="D17">
    <cfRule type="expression" dxfId="257" priority="263" stopIfTrue="1">
      <formula>AND(ISBLANK(INDIRECT("RC2",FALSE)),NOT(ISBLANK(INDIRECT("RC3",FALSE))))</formula>
    </cfRule>
  </conditionalFormatting>
  <conditionalFormatting sqref="D17">
    <cfRule type="expression" dxfId="256" priority="264">
      <formula>NOT(ISBLANK(INDIRECT("RC28",FALSE)))</formula>
    </cfRule>
  </conditionalFormatting>
  <conditionalFormatting sqref="D17">
    <cfRule type="expression" dxfId="255" priority="257" stopIfTrue="1">
      <formula>AND(ISBLANK(INDIRECT("RC2",FALSE)),NOT(ISBLANK(INDIRECT("RC3",FALSE))))</formula>
    </cfRule>
  </conditionalFormatting>
  <conditionalFormatting sqref="D17">
    <cfRule type="expression" dxfId="254" priority="258">
      <formula>NOT(ISBLANK(INDIRECT("RC28",FALSE)))</formula>
    </cfRule>
  </conditionalFormatting>
  <conditionalFormatting sqref="D18">
    <cfRule type="expression" dxfId="253" priority="253">
      <formula>NOT(ISBLANK(INDIRECT("RC28",FALSE)))</formula>
    </cfRule>
  </conditionalFormatting>
  <conditionalFormatting sqref="D18">
    <cfRule type="expression" dxfId="252" priority="254" stopIfTrue="1">
      <formula>AND(ISBLANK(INDIRECT("RC2",FALSE)),NOT(ISBLANK(INDIRECT("RC3",FALSE))))</formula>
    </cfRule>
  </conditionalFormatting>
  <conditionalFormatting sqref="D18">
    <cfRule type="expression" dxfId="251" priority="255" stopIfTrue="1">
      <formula>AND(ISBLANK(INDIRECT("RC2",FALSE)),NOT(ISBLANK(INDIRECT("RC3",FALSE))))</formula>
    </cfRule>
  </conditionalFormatting>
  <conditionalFormatting sqref="D18">
    <cfRule type="expression" dxfId="250" priority="256">
      <formula>NOT(ISBLANK(INDIRECT("RC28",FALSE)))</formula>
    </cfRule>
  </conditionalFormatting>
  <conditionalFormatting sqref="D18">
    <cfRule type="expression" dxfId="249" priority="251" stopIfTrue="1">
      <formula>AND(ISBLANK(INDIRECT("RC2",FALSE)),NOT(ISBLANK(INDIRECT("RC3",FALSE))))</formula>
    </cfRule>
  </conditionalFormatting>
  <conditionalFormatting sqref="D18">
    <cfRule type="expression" dxfId="248" priority="252">
      <formula>NOT(ISBLANK(INDIRECT("RC28",FALSE)))</formula>
    </cfRule>
  </conditionalFormatting>
  <conditionalFormatting sqref="D17">
    <cfRule type="expression" dxfId="247" priority="249" stopIfTrue="1">
      <formula>AND(ISBLANK(INDIRECT("RC2",FALSE)),NOT(ISBLANK(INDIRECT("RC3",FALSE))))</formula>
    </cfRule>
  </conditionalFormatting>
  <conditionalFormatting sqref="D17">
    <cfRule type="expression" dxfId="246" priority="250">
      <formula>NOT(ISBLANK(INDIRECT("RC28",FALSE)))</formula>
    </cfRule>
  </conditionalFormatting>
  <conditionalFormatting sqref="D20">
    <cfRule type="expression" dxfId="245" priority="247" stopIfTrue="1">
      <formula>AND(ISBLANK(INDIRECT("RC2",FALSE)),NOT(ISBLANK(INDIRECT("RC3",FALSE))))</formula>
    </cfRule>
  </conditionalFormatting>
  <conditionalFormatting sqref="D20">
    <cfRule type="expression" dxfId="244" priority="248">
      <formula>NOT(ISBLANK(INDIRECT("RC28",FALSE)))</formula>
    </cfRule>
  </conditionalFormatting>
  <conditionalFormatting sqref="D20">
    <cfRule type="expression" dxfId="243" priority="243">
      <formula>NOT(ISBLANK(INDIRECT("RC28",FALSE)))</formula>
    </cfRule>
  </conditionalFormatting>
  <conditionalFormatting sqref="D20">
    <cfRule type="expression" dxfId="242" priority="244" stopIfTrue="1">
      <formula>AND(ISBLANK(INDIRECT("RC2",FALSE)),NOT(ISBLANK(INDIRECT("RC3",FALSE))))</formula>
    </cfRule>
  </conditionalFormatting>
  <conditionalFormatting sqref="D20">
    <cfRule type="expression" dxfId="241" priority="245" stopIfTrue="1">
      <formula>AND(ISBLANK(INDIRECT("RC2",FALSE)),NOT(ISBLANK(INDIRECT("RC3",FALSE))))</formula>
    </cfRule>
  </conditionalFormatting>
  <conditionalFormatting sqref="D20">
    <cfRule type="expression" dxfId="240" priority="246">
      <formula>NOT(ISBLANK(INDIRECT("RC28",FALSE)))</formula>
    </cfRule>
  </conditionalFormatting>
  <conditionalFormatting sqref="D20">
    <cfRule type="expression" dxfId="239" priority="241" stopIfTrue="1">
      <formula>AND(ISBLANK(INDIRECT("RC2",FALSE)),NOT(ISBLANK(INDIRECT("RC3",FALSE))))</formula>
    </cfRule>
  </conditionalFormatting>
  <conditionalFormatting sqref="D20">
    <cfRule type="expression" dxfId="238" priority="242">
      <formula>NOT(ISBLANK(INDIRECT("RC28",FALSE)))</formula>
    </cfRule>
  </conditionalFormatting>
  <conditionalFormatting sqref="V17:W17">
    <cfRule type="expression" dxfId="237" priority="239">
      <formula>NOT(ISBLANK(INDIRECT("RC28",FALSE)))</formula>
    </cfRule>
  </conditionalFormatting>
  <conditionalFormatting sqref="V17:W17">
    <cfRule type="expression" dxfId="236" priority="240" stopIfTrue="1">
      <formula>AND(ISBLANK(INDIRECT("RC2",FALSE)),NOT(ISBLANK(INDIRECT("RC3",FALSE))))</formula>
    </cfRule>
  </conditionalFormatting>
  <conditionalFormatting sqref="V17">
    <cfRule type="expression" dxfId="235" priority="237">
      <formula>NOT(ISBLANK(INDIRECT("RC28",FALSE)))</formula>
    </cfRule>
  </conditionalFormatting>
  <conditionalFormatting sqref="V17">
    <cfRule type="expression" dxfId="234" priority="238" stopIfTrue="1">
      <formula>AND(ISBLANK(INDIRECT("RC2",FALSE)),NOT(ISBLANK(INDIRECT("RC3",FALSE))))</formula>
    </cfRule>
  </conditionalFormatting>
  <conditionalFormatting sqref="V18">
    <cfRule type="expression" dxfId="233" priority="235">
      <formula>NOT(ISBLANK(INDIRECT("RC28",FALSE)))</formula>
    </cfRule>
  </conditionalFormatting>
  <conditionalFormatting sqref="V18">
    <cfRule type="expression" dxfId="232" priority="236" stopIfTrue="1">
      <formula>AND(ISBLANK(INDIRECT("RC2",FALSE)),NOT(ISBLANK(INDIRECT("RC3",FALSE))))</formula>
    </cfRule>
  </conditionalFormatting>
  <conditionalFormatting sqref="V19">
    <cfRule type="expression" dxfId="231" priority="233">
      <formula>NOT(ISBLANK(INDIRECT("RC28",FALSE)))</formula>
    </cfRule>
  </conditionalFormatting>
  <conditionalFormatting sqref="V19">
    <cfRule type="expression" dxfId="230" priority="234" stopIfTrue="1">
      <formula>AND(ISBLANK(INDIRECT("RC2",FALSE)),NOT(ISBLANK(INDIRECT("RC3",FALSE))))</formula>
    </cfRule>
  </conditionalFormatting>
  <conditionalFormatting sqref="D21">
    <cfRule type="expression" dxfId="229" priority="227">
      <formula>NOT(ISBLANK(INDIRECT("RC28",FALSE)))</formula>
    </cfRule>
  </conditionalFormatting>
  <conditionalFormatting sqref="D21">
    <cfRule type="expression" dxfId="228" priority="228" stopIfTrue="1">
      <formula>AND(ISBLANK(INDIRECT("RC2",FALSE)),NOT(ISBLANK(INDIRECT("RC3",FALSE))))</formula>
    </cfRule>
  </conditionalFormatting>
  <conditionalFormatting sqref="D20">
    <cfRule type="expression" dxfId="227" priority="229" stopIfTrue="1">
      <formula>AND(ISBLANK(INDIRECT("RC2",FALSE)),NOT(ISBLANK(INDIRECT("RC3",FALSE))))</formula>
    </cfRule>
  </conditionalFormatting>
  <conditionalFormatting sqref="D20">
    <cfRule type="expression" dxfId="226" priority="230">
      <formula>NOT(ISBLANK(INDIRECT("RC28",FALSE)))</formula>
    </cfRule>
  </conditionalFormatting>
  <conditionalFormatting sqref="D21">
    <cfRule type="expression" dxfId="225" priority="231" stopIfTrue="1">
      <formula>AND(ISBLANK(INDIRECT("RC2",FALSE)),NOT(ISBLANK(INDIRECT("RC3",FALSE))))</formula>
    </cfRule>
  </conditionalFormatting>
  <conditionalFormatting sqref="D21">
    <cfRule type="expression" dxfId="224" priority="232">
      <formula>NOT(ISBLANK(INDIRECT("RC28",FALSE)))</formula>
    </cfRule>
  </conditionalFormatting>
  <conditionalFormatting sqref="D20">
    <cfRule type="expression" dxfId="223" priority="223">
      <formula>NOT(ISBLANK(INDIRECT("RC28",FALSE)))</formula>
    </cfRule>
  </conditionalFormatting>
  <conditionalFormatting sqref="D20">
    <cfRule type="expression" dxfId="222" priority="224" stopIfTrue="1">
      <formula>AND(ISBLANK(INDIRECT("RC2",FALSE)),NOT(ISBLANK(INDIRECT("RC3",FALSE))))</formula>
    </cfRule>
  </conditionalFormatting>
  <conditionalFormatting sqref="D20">
    <cfRule type="expression" dxfId="221" priority="225" stopIfTrue="1">
      <formula>AND(ISBLANK(INDIRECT("RC2",FALSE)),NOT(ISBLANK(INDIRECT("RC3",FALSE))))</formula>
    </cfRule>
  </conditionalFormatting>
  <conditionalFormatting sqref="D20">
    <cfRule type="expression" dxfId="220" priority="226">
      <formula>NOT(ISBLANK(INDIRECT("RC28",FALSE)))</formula>
    </cfRule>
  </conditionalFormatting>
  <conditionalFormatting sqref="D20">
    <cfRule type="expression" dxfId="219" priority="221" stopIfTrue="1">
      <formula>AND(ISBLANK(INDIRECT("RC2",FALSE)),NOT(ISBLANK(INDIRECT("RC3",FALSE))))</formula>
    </cfRule>
  </conditionalFormatting>
  <conditionalFormatting sqref="D20">
    <cfRule type="expression" dxfId="218" priority="222">
      <formula>NOT(ISBLANK(INDIRECT("RC28",FALSE)))</formula>
    </cfRule>
  </conditionalFormatting>
  <conditionalFormatting sqref="D21">
    <cfRule type="expression" dxfId="217" priority="219" stopIfTrue="1">
      <formula>AND(ISBLANK(INDIRECT("RC2",FALSE)),NOT(ISBLANK(INDIRECT("RC3",FALSE))))</formula>
    </cfRule>
  </conditionalFormatting>
  <conditionalFormatting sqref="D21">
    <cfRule type="expression" dxfId="216" priority="220">
      <formula>NOT(ISBLANK(INDIRECT("RC28",FALSE)))</formula>
    </cfRule>
  </conditionalFormatting>
  <conditionalFormatting sqref="D21">
    <cfRule type="expression" dxfId="215" priority="215">
      <formula>NOT(ISBLANK(INDIRECT("RC28",FALSE)))</formula>
    </cfRule>
  </conditionalFormatting>
  <conditionalFormatting sqref="D21">
    <cfRule type="expression" dxfId="214" priority="216" stopIfTrue="1">
      <formula>AND(ISBLANK(INDIRECT("RC2",FALSE)),NOT(ISBLANK(INDIRECT("RC3",FALSE))))</formula>
    </cfRule>
  </conditionalFormatting>
  <conditionalFormatting sqref="D21">
    <cfRule type="expression" dxfId="213" priority="217" stopIfTrue="1">
      <formula>AND(ISBLANK(INDIRECT("RC2",FALSE)),NOT(ISBLANK(INDIRECT("RC3",FALSE))))</formula>
    </cfRule>
  </conditionalFormatting>
  <conditionalFormatting sqref="D21">
    <cfRule type="expression" dxfId="212" priority="218">
      <formula>NOT(ISBLANK(INDIRECT("RC28",FALSE)))</formula>
    </cfRule>
  </conditionalFormatting>
  <conditionalFormatting sqref="D21">
    <cfRule type="expression" dxfId="211" priority="213" stopIfTrue="1">
      <formula>AND(ISBLANK(INDIRECT("RC2",FALSE)),NOT(ISBLANK(INDIRECT("RC3",FALSE))))</formula>
    </cfRule>
  </conditionalFormatting>
  <conditionalFormatting sqref="D21">
    <cfRule type="expression" dxfId="210" priority="214">
      <formula>NOT(ISBLANK(INDIRECT("RC28",FALSE)))</formula>
    </cfRule>
  </conditionalFormatting>
  <conditionalFormatting sqref="D19">
    <cfRule type="expression" dxfId="209" priority="209">
      <formula>NOT(ISBLANK(INDIRECT("RC28",FALSE)))</formula>
    </cfRule>
  </conditionalFormatting>
  <conditionalFormatting sqref="D19">
    <cfRule type="expression" dxfId="208" priority="210" stopIfTrue="1">
      <formula>AND(ISBLANK(INDIRECT("RC2",FALSE)),NOT(ISBLANK(INDIRECT("RC3",FALSE))))</formula>
    </cfRule>
  </conditionalFormatting>
  <conditionalFormatting sqref="D19">
    <cfRule type="expression" dxfId="207" priority="211" stopIfTrue="1">
      <formula>AND(ISBLANK(INDIRECT("RC2",FALSE)),NOT(ISBLANK(INDIRECT("RC3",FALSE))))</formula>
    </cfRule>
  </conditionalFormatting>
  <conditionalFormatting sqref="D19">
    <cfRule type="expression" dxfId="206" priority="212">
      <formula>NOT(ISBLANK(INDIRECT("RC28",FALSE)))</formula>
    </cfRule>
  </conditionalFormatting>
  <conditionalFormatting sqref="D19">
    <cfRule type="expression" dxfId="205" priority="207" stopIfTrue="1">
      <formula>AND(ISBLANK(INDIRECT("RC2",FALSE)),NOT(ISBLANK(INDIRECT("RC3",FALSE))))</formula>
    </cfRule>
  </conditionalFormatting>
  <conditionalFormatting sqref="D19">
    <cfRule type="expression" dxfId="204" priority="208">
      <formula>NOT(ISBLANK(INDIRECT("RC28",FALSE)))</formula>
    </cfRule>
  </conditionalFormatting>
  <conditionalFormatting sqref="D19">
    <cfRule type="expression" dxfId="203" priority="205" stopIfTrue="1">
      <formula>AND(ISBLANK(INDIRECT("RC2",FALSE)),NOT(ISBLANK(INDIRECT("RC3",FALSE))))</formula>
    </cfRule>
  </conditionalFormatting>
  <conditionalFormatting sqref="D19">
    <cfRule type="expression" dxfId="202" priority="206">
      <formula>NOT(ISBLANK(INDIRECT("RC28",FALSE)))</formula>
    </cfRule>
  </conditionalFormatting>
  <conditionalFormatting sqref="D19">
    <cfRule type="expression" dxfId="201" priority="203" stopIfTrue="1">
      <formula>AND(ISBLANK(INDIRECT("RC2",FALSE)),NOT(ISBLANK(INDIRECT("RC3",FALSE))))</formula>
    </cfRule>
  </conditionalFormatting>
  <conditionalFormatting sqref="D19">
    <cfRule type="expression" dxfId="200" priority="204">
      <formula>NOT(ISBLANK(INDIRECT("RC28",FALSE)))</formula>
    </cfRule>
  </conditionalFormatting>
  <conditionalFormatting sqref="D19">
    <cfRule type="expression" dxfId="199" priority="199">
      <formula>NOT(ISBLANK(INDIRECT("RC28",FALSE)))</formula>
    </cfRule>
  </conditionalFormatting>
  <conditionalFormatting sqref="D19">
    <cfRule type="expression" dxfId="198" priority="200" stopIfTrue="1">
      <formula>AND(ISBLANK(INDIRECT("RC2",FALSE)),NOT(ISBLANK(INDIRECT("RC3",FALSE))))</formula>
    </cfRule>
  </conditionalFormatting>
  <conditionalFormatting sqref="D19">
    <cfRule type="expression" dxfId="197" priority="201" stopIfTrue="1">
      <formula>AND(ISBLANK(INDIRECT("RC2",FALSE)),NOT(ISBLANK(INDIRECT("RC3",FALSE))))</formula>
    </cfRule>
  </conditionalFormatting>
  <conditionalFormatting sqref="D19">
    <cfRule type="expression" dxfId="196" priority="202">
      <formula>NOT(ISBLANK(INDIRECT("RC28",FALSE)))</formula>
    </cfRule>
  </conditionalFormatting>
  <conditionalFormatting sqref="D19">
    <cfRule type="expression" dxfId="195" priority="197" stopIfTrue="1">
      <formula>AND(ISBLANK(INDIRECT("RC2",FALSE)),NOT(ISBLANK(INDIRECT("RC3",FALSE))))</formula>
    </cfRule>
  </conditionalFormatting>
  <conditionalFormatting sqref="D19">
    <cfRule type="expression" dxfId="194" priority="198">
      <formula>NOT(ISBLANK(INDIRECT("RC28",FALSE)))</formula>
    </cfRule>
  </conditionalFormatting>
  <conditionalFormatting sqref="D22">
    <cfRule type="expression" dxfId="193" priority="195">
      <formula>NOT(ISBLANK(INDIRECT("RC28",FALSE)))</formula>
    </cfRule>
  </conditionalFormatting>
  <conditionalFormatting sqref="D22">
    <cfRule type="expression" dxfId="192" priority="196" stopIfTrue="1">
      <formula>AND(ISBLANK(INDIRECT("RC2",FALSE)),NOT(ISBLANK(INDIRECT("RC3",FALSE))))</formula>
    </cfRule>
  </conditionalFormatting>
  <conditionalFormatting sqref="D22">
    <cfRule type="expression" dxfId="191" priority="191">
      <formula>NOT(ISBLANK(INDIRECT("RC28",FALSE)))</formula>
    </cfRule>
  </conditionalFormatting>
  <conditionalFormatting sqref="D22">
    <cfRule type="expression" dxfId="190" priority="192" stopIfTrue="1">
      <formula>AND(ISBLANK(INDIRECT("RC2",FALSE)),NOT(ISBLANK(INDIRECT("RC3",FALSE))))</formula>
    </cfRule>
  </conditionalFormatting>
  <conditionalFormatting sqref="D22">
    <cfRule type="expression" dxfId="189" priority="193" stopIfTrue="1">
      <formula>AND(ISBLANK(INDIRECT("RC2",FALSE)),NOT(ISBLANK(INDIRECT("RC3",FALSE))))</formula>
    </cfRule>
  </conditionalFormatting>
  <conditionalFormatting sqref="D22">
    <cfRule type="expression" dxfId="188" priority="194">
      <formula>NOT(ISBLANK(INDIRECT("RC28",FALSE)))</formula>
    </cfRule>
  </conditionalFormatting>
  <conditionalFormatting sqref="D22">
    <cfRule type="expression" dxfId="187" priority="189" stopIfTrue="1">
      <formula>AND(ISBLANK(INDIRECT("RC2",FALSE)),NOT(ISBLANK(INDIRECT("RC3",FALSE))))</formula>
    </cfRule>
  </conditionalFormatting>
  <conditionalFormatting sqref="D22">
    <cfRule type="expression" dxfId="186" priority="190">
      <formula>NOT(ISBLANK(INDIRECT("RC28",FALSE)))</formula>
    </cfRule>
  </conditionalFormatting>
  <conditionalFormatting sqref="D22">
    <cfRule type="expression" dxfId="185" priority="185">
      <formula>NOT(ISBLANK(INDIRECT("RC28",FALSE)))</formula>
    </cfRule>
  </conditionalFormatting>
  <conditionalFormatting sqref="D22">
    <cfRule type="expression" dxfId="184" priority="186" stopIfTrue="1">
      <formula>AND(ISBLANK(INDIRECT("RC2",FALSE)),NOT(ISBLANK(INDIRECT("RC3",FALSE))))</formula>
    </cfRule>
  </conditionalFormatting>
  <conditionalFormatting sqref="D22">
    <cfRule type="expression" dxfId="183" priority="187" stopIfTrue="1">
      <formula>AND(ISBLANK(INDIRECT("RC2",FALSE)),NOT(ISBLANK(INDIRECT("RC3",FALSE))))</formula>
    </cfRule>
  </conditionalFormatting>
  <conditionalFormatting sqref="D22">
    <cfRule type="expression" dxfId="182" priority="188">
      <formula>NOT(ISBLANK(INDIRECT("RC28",FALSE)))</formula>
    </cfRule>
  </conditionalFormatting>
  <conditionalFormatting sqref="D22">
    <cfRule type="expression" dxfId="181" priority="183" stopIfTrue="1">
      <formula>AND(ISBLANK(INDIRECT("RC2",FALSE)),NOT(ISBLANK(INDIRECT("RC3",FALSE))))</formula>
    </cfRule>
  </conditionalFormatting>
  <conditionalFormatting sqref="D22">
    <cfRule type="expression" dxfId="180" priority="184">
      <formula>NOT(ISBLANK(INDIRECT("RC28",FALSE)))</formula>
    </cfRule>
  </conditionalFormatting>
  <conditionalFormatting sqref="V22">
    <cfRule type="expression" dxfId="179" priority="179">
      <formula>NOT(ISBLANK(INDIRECT("RC28",FALSE)))</formula>
    </cfRule>
  </conditionalFormatting>
  <conditionalFormatting sqref="V22">
    <cfRule type="expression" dxfId="178" priority="180" stopIfTrue="1">
      <formula>AND(ISBLANK(INDIRECT("RC2",FALSE)),NOT(ISBLANK(INDIRECT("RC3",FALSE))))</formula>
    </cfRule>
  </conditionalFormatting>
  <conditionalFormatting sqref="U22">
    <cfRule type="expression" dxfId="177" priority="177">
      <formula>NOT(ISBLANK(INDIRECT("RC28",FALSE)))</formula>
    </cfRule>
  </conditionalFormatting>
  <conditionalFormatting sqref="U22">
    <cfRule type="expression" dxfId="176" priority="178" stopIfTrue="1">
      <formula>AND(ISBLANK(INDIRECT("RC2",FALSE)),NOT(ISBLANK(INDIRECT("RC3",FALSE))))</formula>
    </cfRule>
  </conditionalFormatting>
  <conditionalFormatting sqref="W20:W23">
    <cfRule type="expression" dxfId="175" priority="171">
      <formula>NOT(ISBLANK(INDIRECT("RC28",FALSE)))</formula>
    </cfRule>
  </conditionalFormatting>
  <conditionalFormatting sqref="W20:W23">
    <cfRule type="expression" dxfId="174" priority="172" stopIfTrue="1">
      <formula>AND(ISBLANK(INDIRECT("RC2",FALSE)),NOT(ISBLANK(INDIRECT("RC3",FALSE))))</formula>
    </cfRule>
  </conditionalFormatting>
  <conditionalFormatting sqref="W21:W23">
    <cfRule type="expression" dxfId="173" priority="173">
      <formula>NOT(ISBLANK(INDIRECT("RC28",FALSE)))</formula>
    </cfRule>
  </conditionalFormatting>
  <conditionalFormatting sqref="W21:W23">
    <cfRule type="expression" dxfId="172" priority="174" stopIfTrue="1">
      <formula>AND(ISBLANK(INDIRECT("RC2",FALSE)),NOT(ISBLANK(INDIRECT("RC3",FALSE))))</formula>
    </cfRule>
  </conditionalFormatting>
  <conditionalFormatting sqref="W20:W22">
    <cfRule type="expression" dxfId="171" priority="175">
      <formula>NOT(ISBLANK(INDIRECT("RC28",FALSE)))</formula>
    </cfRule>
  </conditionalFormatting>
  <conditionalFormatting sqref="W20:W22">
    <cfRule type="expression" dxfId="170" priority="176" stopIfTrue="1">
      <formula>AND(ISBLANK(INDIRECT("RC2",FALSE)),NOT(ISBLANK(INDIRECT("RC3",FALSE))))</formula>
    </cfRule>
  </conditionalFormatting>
  <conditionalFormatting sqref="W20">
    <cfRule type="expression" dxfId="169" priority="169">
      <formula>NOT(ISBLANK(INDIRECT("RC28",FALSE)))</formula>
    </cfRule>
  </conditionalFormatting>
  <conditionalFormatting sqref="W20">
    <cfRule type="expression" dxfId="168" priority="170" stopIfTrue="1">
      <formula>AND(ISBLANK(INDIRECT("RC2",FALSE)),NOT(ISBLANK(INDIRECT("RC3",FALSE))))</formula>
    </cfRule>
  </conditionalFormatting>
  <conditionalFormatting sqref="C18">
    <cfRule type="expression" dxfId="167" priority="167" stopIfTrue="1">
      <formula>AND(ISBLANK(INDIRECT("RC2",FALSE)),NOT(ISBLANK(INDIRECT("RC3",FALSE))))</formula>
    </cfRule>
  </conditionalFormatting>
  <conditionalFormatting sqref="C18">
    <cfRule type="expression" dxfId="166" priority="168">
      <formula>NOT(ISBLANK(INDIRECT("RC28",FALSE)))</formula>
    </cfRule>
  </conditionalFormatting>
  <conditionalFormatting sqref="C19">
    <cfRule type="expression" dxfId="165" priority="163">
      <formula>NOT(ISBLANK(INDIRECT("RC28",FALSE)))</formula>
    </cfRule>
  </conditionalFormatting>
  <conditionalFormatting sqref="C19">
    <cfRule type="expression" dxfId="164" priority="164" stopIfTrue="1">
      <formula>AND(ISBLANK(INDIRECT("RC2",FALSE)),NOT(ISBLANK(INDIRECT("RC3",FALSE))))</formula>
    </cfRule>
  </conditionalFormatting>
  <conditionalFormatting sqref="C19">
    <cfRule type="expression" dxfId="163" priority="165" stopIfTrue="1">
      <formula>AND(ISBLANK(INDIRECT("RC2",FALSE)),NOT(ISBLANK(INDIRECT("RC3",FALSE))))</formula>
    </cfRule>
  </conditionalFormatting>
  <conditionalFormatting sqref="C19">
    <cfRule type="expression" dxfId="162" priority="166">
      <formula>NOT(ISBLANK(INDIRECT("RC28",FALSE)))</formula>
    </cfRule>
  </conditionalFormatting>
  <conditionalFormatting sqref="C19">
    <cfRule type="expression" dxfId="161" priority="161" stopIfTrue="1">
      <formula>AND(ISBLANK(INDIRECT("RC2",FALSE)),NOT(ISBLANK(INDIRECT("RC3",FALSE))))</formula>
    </cfRule>
  </conditionalFormatting>
  <conditionalFormatting sqref="C19">
    <cfRule type="expression" dxfId="160" priority="162">
      <formula>NOT(ISBLANK(INDIRECT("RC28",FALSE)))</formula>
    </cfRule>
  </conditionalFormatting>
  <conditionalFormatting sqref="C20:C23">
    <cfRule type="expression" dxfId="159" priority="151">
      <formula>NOT(ISBLANK(INDIRECT("RC28",FALSE)))</formula>
    </cfRule>
  </conditionalFormatting>
  <conditionalFormatting sqref="C20:C23">
    <cfRule type="expression" dxfId="158" priority="152" stopIfTrue="1">
      <formula>AND(ISBLANK(INDIRECT("RC2",FALSE)),NOT(ISBLANK(INDIRECT("RC3",FALSE))))</formula>
    </cfRule>
  </conditionalFormatting>
  <conditionalFormatting sqref="C22">
    <cfRule type="expression" dxfId="157" priority="153" stopIfTrue="1">
      <formula>AND(ISBLANK(INDIRECT("RC2",FALSE)),NOT(ISBLANK(INDIRECT("RC3",FALSE))))</formula>
    </cfRule>
  </conditionalFormatting>
  <conditionalFormatting sqref="C22">
    <cfRule type="expression" dxfId="156" priority="154">
      <formula>NOT(ISBLANK(INDIRECT("RC28",FALSE)))</formula>
    </cfRule>
  </conditionalFormatting>
  <conditionalFormatting sqref="C21">
    <cfRule type="expression" dxfId="155" priority="155">
      <formula>NOT(ISBLANK(INDIRECT("RC28",FALSE)))</formula>
    </cfRule>
  </conditionalFormatting>
  <conditionalFormatting sqref="C21">
    <cfRule type="expression" dxfId="154" priority="156" stopIfTrue="1">
      <formula>AND(ISBLANK(INDIRECT("RC2",FALSE)),NOT(ISBLANK(INDIRECT("RC3",FALSE))))</formula>
    </cfRule>
  </conditionalFormatting>
  <conditionalFormatting sqref="C20">
    <cfRule type="expression" dxfId="153" priority="157" stopIfTrue="1">
      <formula>AND(ISBLANK(INDIRECT("RC2",FALSE)),NOT(ISBLANK(INDIRECT("RC3",FALSE))))</formula>
    </cfRule>
  </conditionalFormatting>
  <conditionalFormatting sqref="C20">
    <cfRule type="expression" dxfId="152" priority="158">
      <formula>NOT(ISBLANK(INDIRECT("RC28",FALSE)))</formula>
    </cfRule>
  </conditionalFormatting>
  <conditionalFormatting sqref="C21">
    <cfRule type="expression" dxfId="151" priority="159" stopIfTrue="1">
      <formula>AND(ISBLANK(INDIRECT("RC2",FALSE)),NOT(ISBLANK(INDIRECT("RC3",FALSE))))</formula>
    </cfRule>
  </conditionalFormatting>
  <conditionalFormatting sqref="C21">
    <cfRule type="expression" dxfId="150" priority="160">
      <formula>NOT(ISBLANK(INDIRECT("RC28",FALSE)))</formula>
    </cfRule>
  </conditionalFormatting>
  <conditionalFormatting sqref="C21">
    <cfRule type="expression" dxfId="149" priority="149" stopIfTrue="1">
      <formula>AND(ISBLANK(INDIRECT("RC2",FALSE)),NOT(ISBLANK(INDIRECT("RC3",FALSE))))</formula>
    </cfRule>
  </conditionalFormatting>
  <conditionalFormatting sqref="C21">
    <cfRule type="expression" dxfId="148" priority="150">
      <formula>NOT(ISBLANK(INDIRECT("RC28",FALSE)))</formula>
    </cfRule>
  </conditionalFormatting>
  <conditionalFormatting sqref="C22">
    <cfRule type="expression" dxfId="147" priority="145">
      <formula>NOT(ISBLANK(INDIRECT("RC28",FALSE)))</formula>
    </cfRule>
  </conditionalFormatting>
  <conditionalFormatting sqref="C22">
    <cfRule type="expression" dxfId="146" priority="146" stopIfTrue="1">
      <formula>AND(ISBLANK(INDIRECT("RC2",FALSE)),NOT(ISBLANK(INDIRECT("RC3",FALSE))))</formula>
    </cfRule>
  </conditionalFormatting>
  <conditionalFormatting sqref="C22">
    <cfRule type="expression" dxfId="145" priority="147" stopIfTrue="1">
      <formula>AND(ISBLANK(INDIRECT("RC2",FALSE)),NOT(ISBLANK(INDIRECT("RC3",FALSE))))</formula>
    </cfRule>
  </conditionalFormatting>
  <conditionalFormatting sqref="C22">
    <cfRule type="expression" dxfId="144" priority="148">
      <formula>NOT(ISBLANK(INDIRECT("RC28",FALSE)))</formula>
    </cfRule>
  </conditionalFormatting>
  <conditionalFormatting sqref="C22">
    <cfRule type="expression" dxfId="143" priority="143" stopIfTrue="1">
      <formula>AND(ISBLANK(INDIRECT("RC2",FALSE)),NOT(ISBLANK(INDIRECT("RC3",FALSE))))</formula>
    </cfRule>
  </conditionalFormatting>
  <conditionalFormatting sqref="C22">
    <cfRule type="expression" dxfId="142" priority="144">
      <formula>NOT(ISBLANK(INDIRECT("RC28",FALSE)))</formula>
    </cfRule>
  </conditionalFormatting>
  <conditionalFormatting sqref="C15:AC15">
    <cfRule type="expression" dxfId="141" priority="142">
      <formula>NOT(ISBLANK(INDIRECT("RC28",FALSE)))</formula>
    </cfRule>
  </conditionalFormatting>
  <conditionalFormatting sqref="C15:AC15">
    <cfRule type="expression" dxfId="140" priority="141" stopIfTrue="1">
      <formula>AND(ISBLANK(INDIRECT("RC2",FALSE)),NOT(ISBLANK(INDIRECT("RC3",FALSE))))</formula>
    </cfRule>
  </conditionalFormatting>
  <conditionalFormatting sqref="AB27:AC27">
    <cfRule type="expression" dxfId="139" priority="140">
      <formula>NOT(ISBLANK(INDIRECT("RC28",FALSE)))</formula>
    </cfRule>
  </conditionalFormatting>
  <conditionalFormatting sqref="AB27:AC27">
    <cfRule type="expression" dxfId="138" priority="139" stopIfTrue="1">
      <formula>AND(ISBLANK(INDIRECT("RC2",FALSE)),NOT(ISBLANK(INDIRECT("RC3",FALSE))))</formula>
    </cfRule>
  </conditionalFormatting>
  <conditionalFormatting sqref="AA20">
    <cfRule type="expression" dxfId="137" priority="33">
      <formula>NOT(ISBLANK(INDIRECT("RC28",FALSE)))</formula>
    </cfRule>
  </conditionalFormatting>
  <conditionalFormatting sqref="AA20">
    <cfRule type="expression" dxfId="136" priority="34" stopIfTrue="1">
      <formula>AND(ISBLANK(INDIRECT("RC2",FALSE)),NOT(ISBLANK(INDIRECT("RC3",FALSE))))</formula>
    </cfRule>
  </conditionalFormatting>
  <conditionalFormatting sqref="C20:D20">
    <cfRule type="expression" dxfId="135" priority="131" stopIfTrue="1">
      <formula>AND(ISBLANK(INDIRECT("RC2",FALSE)),NOT(ISBLANK(INDIRECT("RC3",FALSE))))</formula>
    </cfRule>
  </conditionalFormatting>
  <conditionalFormatting sqref="C20:D20">
    <cfRule type="expression" dxfId="134" priority="132">
      <formula>NOT(ISBLANK(INDIRECT("RC28",FALSE)))</formula>
    </cfRule>
  </conditionalFormatting>
  <conditionalFormatting sqref="D21">
    <cfRule type="expression" dxfId="133" priority="133" stopIfTrue="1">
      <formula>AND(ISBLANK(INDIRECT("RC2",FALSE)),NOT(ISBLANK(INDIRECT("RC3",FALSE))))</formula>
    </cfRule>
  </conditionalFormatting>
  <conditionalFormatting sqref="D21">
    <cfRule type="expression" dxfId="132" priority="134">
      <formula>NOT(ISBLANK(INDIRECT("RC28",FALSE)))</formula>
    </cfRule>
  </conditionalFormatting>
  <conditionalFormatting sqref="C18:D18">
    <cfRule type="expression" dxfId="131" priority="135" stopIfTrue="1">
      <formula>AND(ISBLANK(INDIRECT("RC2",FALSE)),NOT(ISBLANK(INDIRECT("RC3",FALSE))))</formula>
    </cfRule>
  </conditionalFormatting>
  <conditionalFormatting sqref="C18:D18">
    <cfRule type="expression" dxfId="130" priority="136">
      <formula>NOT(ISBLANK(INDIRECT("RC28",FALSE)))</formula>
    </cfRule>
  </conditionalFormatting>
  <conditionalFormatting sqref="C19:D19">
    <cfRule type="expression" dxfId="129" priority="137" stopIfTrue="1">
      <formula>AND(ISBLANK(INDIRECT("RC2",FALSE)),NOT(ISBLANK(INDIRECT("RC3",FALSE))))</formula>
    </cfRule>
  </conditionalFormatting>
  <conditionalFormatting sqref="C19:D19">
    <cfRule type="expression" dxfId="128" priority="138">
      <formula>NOT(ISBLANK(INDIRECT("RC28",FALSE)))</formula>
    </cfRule>
  </conditionalFormatting>
  <conditionalFormatting sqref="U17">
    <cfRule type="expression" dxfId="127" priority="129">
      <formula>NOT(ISBLANK(INDIRECT("RC28",FALSE)))</formula>
    </cfRule>
  </conditionalFormatting>
  <conditionalFormatting sqref="U17">
    <cfRule type="expression" dxfId="126" priority="130" stopIfTrue="1">
      <formula>AND(ISBLANK(INDIRECT("RC2",FALSE)),NOT(ISBLANK(INDIRECT("RC3",FALSE))))</formula>
    </cfRule>
  </conditionalFormatting>
  <conditionalFormatting sqref="V21">
    <cfRule type="expression" dxfId="125" priority="127">
      <formula>NOT(ISBLANK(INDIRECT("RC28",FALSE)))</formula>
    </cfRule>
  </conditionalFormatting>
  <conditionalFormatting sqref="V21">
    <cfRule type="expression" dxfId="124" priority="128" stopIfTrue="1">
      <formula>AND(ISBLANK(INDIRECT("RC2",FALSE)),NOT(ISBLANK(INDIRECT("RC3",FALSE))))</formula>
    </cfRule>
  </conditionalFormatting>
  <conditionalFormatting sqref="D19">
    <cfRule type="expression" dxfId="123" priority="125" stopIfTrue="1">
      <formula>AND(ISBLANK(INDIRECT("RC2",FALSE)),NOT(ISBLANK(INDIRECT("RC3",FALSE))))</formula>
    </cfRule>
  </conditionalFormatting>
  <conditionalFormatting sqref="D19">
    <cfRule type="expression" dxfId="122" priority="126">
      <formula>NOT(ISBLANK(INDIRECT("RC28",FALSE)))</formula>
    </cfRule>
  </conditionalFormatting>
  <conditionalFormatting sqref="D20">
    <cfRule type="expression" dxfId="121" priority="121">
      <formula>NOT(ISBLANK(INDIRECT("RC28",FALSE)))</formula>
    </cfRule>
  </conditionalFormatting>
  <conditionalFormatting sqref="D20">
    <cfRule type="expression" dxfId="120" priority="122" stopIfTrue="1">
      <formula>AND(ISBLANK(INDIRECT("RC2",FALSE)),NOT(ISBLANK(INDIRECT("RC3",FALSE))))</formula>
    </cfRule>
  </conditionalFormatting>
  <conditionalFormatting sqref="D20">
    <cfRule type="expression" dxfId="119" priority="123" stopIfTrue="1">
      <formula>AND(ISBLANK(INDIRECT("RC2",FALSE)),NOT(ISBLANK(INDIRECT("RC3",FALSE))))</formula>
    </cfRule>
  </conditionalFormatting>
  <conditionalFormatting sqref="D20">
    <cfRule type="expression" dxfId="118" priority="124">
      <formula>NOT(ISBLANK(INDIRECT("RC28",FALSE)))</formula>
    </cfRule>
  </conditionalFormatting>
  <conditionalFormatting sqref="D20">
    <cfRule type="expression" dxfId="117" priority="119" stopIfTrue="1">
      <formula>AND(ISBLANK(INDIRECT("RC2",FALSE)),NOT(ISBLANK(INDIRECT("RC3",FALSE))))</formula>
    </cfRule>
  </conditionalFormatting>
  <conditionalFormatting sqref="D20">
    <cfRule type="expression" dxfId="116" priority="120">
      <formula>NOT(ISBLANK(INDIRECT("RC28",FALSE)))</formula>
    </cfRule>
  </conditionalFormatting>
  <conditionalFormatting sqref="D19">
    <cfRule type="expression" dxfId="115" priority="117" stopIfTrue="1">
      <formula>AND(ISBLANK(INDIRECT("RC2",FALSE)),NOT(ISBLANK(INDIRECT("RC3",FALSE))))</formula>
    </cfRule>
  </conditionalFormatting>
  <conditionalFormatting sqref="D19">
    <cfRule type="expression" dxfId="114" priority="118">
      <formula>NOT(ISBLANK(INDIRECT("RC28",FALSE)))</formula>
    </cfRule>
  </conditionalFormatting>
  <conditionalFormatting sqref="D19">
    <cfRule type="expression" dxfId="113" priority="111" stopIfTrue="1">
      <formula>AND(ISBLANK(INDIRECT("RC2",FALSE)),NOT(ISBLANK(INDIRECT("RC3",FALSE))))</formula>
    </cfRule>
  </conditionalFormatting>
  <conditionalFormatting sqref="D19">
    <cfRule type="expression" dxfId="112" priority="112">
      <formula>NOT(ISBLANK(INDIRECT("RC28",FALSE)))</formula>
    </cfRule>
  </conditionalFormatting>
  <conditionalFormatting sqref="D18">
    <cfRule type="expression" dxfId="111" priority="113">
      <formula>NOT(ISBLANK(INDIRECT("RC28",FALSE)))</formula>
    </cfRule>
  </conditionalFormatting>
  <conditionalFormatting sqref="D18">
    <cfRule type="expression" dxfId="110" priority="114" stopIfTrue="1">
      <formula>AND(ISBLANK(INDIRECT("RC2",FALSE)),NOT(ISBLANK(INDIRECT("RC3",FALSE))))</formula>
    </cfRule>
  </conditionalFormatting>
  <conditionalFormatting sqref="D18">
    <cfRule type="expression" dxfId="109" priority="115" stopIfTrue="1">
      <formula>AND(ISBLANK(INDIRECT("RC2",FALSE)),NOT(ISBLANK(INDIRECT("RC3",FALSE))))</formula>
    </cfRule>
  </conditionalFormatting>
  <conditionalFormatting sqref="D18">
    <cfRule type="expression" dxfId="108" priority="116">
      <formula>NOT(ISBLANK(INDIRECT("RC28",FALSE)))</formula>
    </cfRule>
  </conditionalFormatting>
  <conditionalFormatting sqref="D18">
    <cfRule type="expression" dxfId="107" priority="109" stopIfTrue="1">
      <formula>AND(ISBLANK(INDIRECT("RC2",FALSE)),NOT(ISBLANK(INDIRECT("RC3",FALSE))))</formula>
    </cfRule>
  </conditionalFormatting>
  <conditionalFormatting sqref="D18">
    <cfRule type="expression" dxfId="106" priority="110">
      <formula>NOT(ISBLANK(INDIRECT("RC28",FALSE)))</formula>
    </cfRule>
  </conditionalFormatting>
  <conditionalFormatting sqref="D19">
    <cfRule type="expression" dxfId="105" priority="105">
      <formula>NOT(ISBLANK(INDIRECT("RC28",FALSE)))</formula>
    </cfRule>
  </conditionalFormatting>
  <conditionalFormatting sqref="D19">
    <cfRule type="expression" dxfId="104" priority="106" stopIfTrue="1">
      <formula>AND(ISBLANK(INDIRECT("RC2",FALSE)),NOT(ISBLANK(INDIRECT("RC3",FALSE))))</formula>
    </cfRule>
  </conditionalFormatting>
  <conditionalFormatting sqref="D19">
    <cfRule type="expression" dxfId="103" priority="107" stopIfTrue="1">
      <formula>AND(ISBLANK(INDIRECT("RC2",FALSE)),NOT(ISBLANK(INDIRECT("RC3",FALSE))))</formula>
    </cfRule>
  </conditionalFormatting>
  <conditionalFormatting sqref="D19">
    <cfRule type="expression" dxfId="102" priority="108">
      <formula>NOT(ISBLANK(INDIRECT("RC28",FALSE)))</formula>
    </cfRule>
  </conditionalFormatting>
  <conditionalFormatting sqref="D19">
    <cfRule type="expression" dxfId="101" priority="103" stopIfTrue="1">
      <formula>AND(ISBLANK(INDIRECT("RC2",FALSE)),NOT(ISBLANK(INDIRECT("RC3",FALSE))))</formula>
    </cfRule>
  </conditionalFormatting>
  <conditionalFormatting sqref="D19">
    <cfRule type="expression" dxfId="100" priority="104">
      <formula>NOT(ISBLANK(INDIRECT("RC28",FALSE)))</formula>
    </cfRule>
  </conditionalFormatting>
  <conditionalFormatting sqref="D18">
    <cfRule type="expression" dxfId="99" priority="101" stopIfTrue="1">
      <formula>AND(ISBLANK(INDIRECT("RC2",FALSE)),NOT(ISBLANK(INDIRECT("RC3",FALSE))))</formula>
    </cfRule>
  </conditionalFormatting>
  <conditionalFormatting sqref="D18">
    <cfRule type="expression" dxfId="98" priority="102">
      <formula>NOT(ISBLANK(INDIRECT("RC28",FALSE)))</formula>
    </cfRule>
  </conditionalFormatting>
  <conditionalFormatting sqref="D21">
    <cfRule type="expression" dxfId="97" priority="99" stopIfTrue="1">
      <formula>AND(ISBLANK(INDIRECT("RC2",FALSE)),NOT(ISBLANK(INDIRECT("RC3",FALSE))))</formula>
    </cfRule>
  </conditionalFormatting>
  <conditionalFormatting sqref="D21">
    <cfRule type="expression" dxfId="96" priority="100">
      <formula>NOT(ISBLANK(INDIRECT("RC28",FALSE)))</formula>
    </cfRule>
  </conditionalFormatting>
  <conditionalFormatting sqref="D21">
    <cfRule type="expression" dxfId="95" priority="95">
      <formula>NOT(ISBLANK(INDIRECT("RC28",FALSE)))</formula>
    </cfRule>
  </conditionalFormatting>
  <conditionalFormatting sqref="D21">
    <cfRule type="expression" dxfId="94" priority="96" stopIfTrue="1">
      <formula>AND(ISBLANK(INDIRECT("RC2",FALSE)),NOT(ISBLANK(INDIRECT("RC3",FALSE))))</formula>
    </cfRule>
  </conditionalFormatting>
  <conditionalFormatting sqref="D21">
    <cfRule type="expression" dxfId="93" priority="97" stopIfTrue="1">
      <formula>AND(ISBLANK(INDIRECT("RC2",FALSE)),NOT(ISBLANK(INDIRECT("RC3",FALSE))))</formula>
    </cfRule>
  </conditionalFormatting>
  <conditionalFormatting sqref="D21">
    <cfRule type="expression" dxfId="92" priority="98">
      <formula>NOT(ISBLANK(INDIRECT("RC28",FALSE)))</formula>
    </cfRule>
  </conditionalFormatting>
  <conditionalFormatting sqref="D21">
    <cfRule type="expression" dxfId="91" priority="93" stopIfTrue="1">
      <formula>AND(ISBLANK(INDIRECT("RC2",FALSE)),NOT(ISBLANK(INDIRECT("RC3",FALSE))))</formula>
    </cfRule>
  </conditionalFormatting>
  <conditionalFormatting sqref="D21">
    <cfRule type="expression" dxfId="90" priority="94">
      <formula>NOT(ISBLANK(INDIRECT("RC28",FALSE)))</formula>
    </cfRule>
  </conditionalFormatting>
  <conditionalFormatting sqref="V18:W18">
    <cfRule type="expression" dxfId="89" priority="91">
      <formula>NOT(ISBLANK(INDIRECT("RC28",FALSE)))</formula>
    </cfRule>
  </conditionalFormatting>
  <conditionalFormatting sqref="V18:W18">
    <cfRule type="expression" dxfId="88" priority="92" stopIfTrue="1">
      <formula>AND(ISBLANK(INDIRECT("RC2",FALSE)),NOT(ISBLANK(INDIRECT("RC3",FALSE))))</formula>
    </cfRule>
  </conditionalFormatting>
  <conditionalFormatting sqref="V18">
    <cfRule type="expression" dxfId="87" priority="89">
      <formula>NOT(ISBLANK(INDIRECT("RC28",FALSE)))</formula>
    </cfRule>
  </conditionalFormatting>
  <conditionalFormatting sqref="V18">
    <cfRule type="expression" dxfId="86" priority="90" stopIfTrue="1">
      <formula>AND(ISBLANK(INDIRECT("RC2",FALSE)),NOT(ISBLANK(INDIRECT("RC3",FALSE))))</formula>
    </cfRule>
  </conditionalFormatting>
  <conditionalFormatting sqref="V19">
    <cfRule type="expression" dxfId="85" priority="87">
      <formula>NOT(ISBLANK(INDIRECT("RC28",FALSE)))</formula>
    </cfRule>
  </conditionalFormatting>
  <conditionalFormatting sqref="V19">
    <cfRule type="expression" dxfId="84" priority="88" stopIfTrue="1">
      <formula>AND(ISBLANK(INDIRECT("RC2",FALSE)),NOT(ISBLANK(INDIRECT("RC3",FALSE))))</formula>
    </cfRule>
  </conditionalFormatting>
  <conditionalFormatting sqref="V20">
    <cfRule type="expression" dxfId="83" priority="85">
      <formula>NOT(ISBLANK(INDIRECT("RC28",FALSE)))</formula>
    </cfRule>
  </conditionalFormatting>
  <conditionalFormatting sqref="V20">
    <cfRule type="expression" dxfId="82" priority="86" stopIfTrue="1">
      <formula>AND(ISBLANK(INDIRECT("RC2",FALSE)),NOT(ISBLANK(INDIRECT("RC3",FALSE))))</formula>
    </cfRule>
  </conditionalFormatting>
  <conditionalFormatting sqref="D22">
    <cfRule type="expression" dxfId="81" priority="79">
      <formula>NOT(ISBLANK(INDIRECT("RC28",FALSE)))</formula>
    </cfRule>
  </conditionalFormatting>
  <conditionalFormatting sqref="D22">
    <cfRule type="expression" dxfId="80" priority="80" stopIfTrue="1">
      <formula>AND(ISBLANK(INDIRECT("RC2",FALSE)),NOT(ISBLANK(INDIRECT("RC3",FALSE))))</formula>
    </cfRule>
  </conditionalFormatting>
  <conditionalFormatting sqref="D21">
    <cfRule type="expression" dxfId="79" priority="81" stopIfTrue="1">
      <formula>AND(ISBLANK(INDIRECT("RC2",FALSE)),NOT(ISBLANK(INDIRECT("RC3",FALSE))))</formula>
    </cfRule>
  </conditionalFormatting>
  <conditionalFormatting sqref="D21">
    <cfRule type="expression" dxfId="78" priority="82">
      <formula>NOT(ISBLANK(INDIRECT("RC28",FALSE)))</formula>
    </cfRule>
  </conditionalFormatting>
  <conditionalFormatting sqref="D22">
    <cfRule type="expression" dxfId="77" priority="83" stopIfTrue="1">
      <formula>AND(ISBLANK(INDIRECT("RC2",FALSE)),NOT(ISBLANK(INDIRECT("RC3",FALSE))))</formula>
    </cfRule>
  </conditionalFormatting>
  <conditionalFormatting sqref="D22">
    <cfRule type="expression" dxfId="76" priority="84">
      <formula>NOT(ISBLANK(INDIRECT("RC28",FALSE)))</formula>
    </cfRule>
  </conditionalFormatting>
  <conditionalFormatting sqref="D21">
    <cfRule type="expression" dxfId="75" priority="75">
      <formula>NOT(ISBLANK(INDIRECT("RC28",FALSE)))</formula>
    </cfRule>
  </conditionalFormatting>
  <conditionalFormatting sqref="D21">
    <cfRule type="expression" dxfId="74" priority="76" stopIfTrue="1">
      <formula>AND(ISBLANK(INDIRECT("RC2",FALSE)),NOT(ISBLANK(INDIRECT("RC3",FALSE))))</formula>
    </cfRule>
  </conditionalFormatting>
  <conditionalFormatting sqref="D21">
    <cfRule type="expression" dxfId="73" priority="77" stopIfTrue="1">
      <formula>AND(ISBLANK(INDIRECT("RC2",FALSE)),NOT(ISBLANK(INDIRECT("RC3",FALSE))))</formula>
    </cfRule>
  </conditionalFormatting>
  <conditionalFormatting sqref="D21">
    <cfRule type="expression" dxfId="72" priority="78">
      <formula>NOT(ISBLANK(INDIRECT("RC28",FALSE)))</formula>
    </cfRule>
  </conditionalFormatting>
  <conditionalFormatting sqref="D21">
    <cfRule type="expression" dxfId="71" priority="73" stopIfTrue="1">
      <formula>AND(ISBLANK(INDIRECT("RC2",FALSE)),NOT(ISBLANK(INDIRECT("RC3",FALSE))))</formula>
    </cfRule>
  </conditionalFormatting>
  <conditionalFormatting sqref="D21">
    <cfRule type="expression" dxfId="70" priority="74">
      <formula>NOT(ISBLANK(INDIRECT("RC28",FALSE)))</formula>
    </cfRule>
  </conditionalFormatting>
  <conditionalFormatting sqref="D22">
    <cfRule type="expression" dxfId="69" priority="71" stopIfTrue="1">
      <formula>AND(ISBLANK(INDIRECT("RC2",FALSE)),NOT(ISBLANK(INDIRECT("RC3",FALSE))))</formula>
    </cfRule>
  </conditionalFormatting>
  <conditionalFormatting sqref="D22">
    <cfRule type="expression" dxfId="68" priority="72">
      <formula>NOT(ISBLANK(INDIRECT("RC28",FALSE)))</formula>
    </cfRule>
  </conditionalFormatting>
  <conditionalFormatting sqref="D22">
    <cfRule type="expression" dxfId="67" priority="67">
      <formula>NOT(ISBLANK(INDIRECT("RC28",FALSE)))</formula>
    </cfRule>
  </conditionalFormatting>
  <conditionalFormatting sqref="D22">
    <cfRule type="expression" dxfId="66" priority="68" stopIfTrue="1">
      <formula>AND(ISBLANK(INDIRECT("RC2",FALSE)),NOT(ISBLANK(INDIRECT("RC3",FALSE))))</formula>
    </cfRule>
  </conditionalFormatting>
  <conditionalFormatting sqref="D22">
    <cfRule type="expression" dxfId="65" priority="69" stopIfTrue="1">
      <formula>AND(ISBLANK(INDIRECT("RC2",FALSE)),NOT(ISBLANK(INDIRECT("RC3",FALSE))))</formula>
    </cfRule>
  </conditionalFormatting>
  <conditionalFormatting sqref="D22">
    <cfRule type="expression" dxfId="64" priority="70">
      <formula>NOT(ISBLANK(INDIRECT("RC28",FALSE)))</formula>
    </cfRule>
  </conditionalFormatting>
  <conditionalFormatting sqref="D22">
    <cfRule type="expression" dxfId="63" priority="65" stopIfTrue="1">
      <formula>AND(ISBLANK(INDIRECT("RC2",FALSE)),NOT(ISBLANK(INDIRECT("RC3",FALSE))))</formula>
    </cfRule>
  </conditionalFormatting>
  <conditionalFormatting sqref="D22">
    <cfRule type="expression" dxfId="62" priority="66">
      <formula>NOT(ISBLANK(INDIRECT("RC28",FALSE)))</formula>
    </cfRule>
  </conditionalFormatting>
  <conditionalFormatting sqref="D20">
    <cfRule type="expression" dxfId="61" priority="61">
      <formula>NOT(ISBLANK(INDIRECT("RC28",FALSE)))</formula>
    </cfRule>
  </conditionalFormatting>
  <conditionalFormatting sqref="D20">
    <cfRule type="expression" dxfId="60" priority="62" stopIfTrue="1">
      <formula>AND(ISBLANK(INDIRECT("RC2",FALSE)),NOT(ISBLANK(INDIRECT("RC3",FALSE))))</formula>
    </cfRule>
  </conditionalFormatting>
  <conditionalFormatting sqref="D20">
    <cfRule type="expression" dxfId="59" priority="63" stopIfTrue="1">
      <formula>AND(ISBLANK(INDIRECT("RC2",FALSE)),NOT(ISBLANK(INDIRECT("RC3",FALSE))))</formula>
    </cfRule>
  </conditionalFormatting>
  <conditionalFormatting sqref="D20">
    <cfRule type="expression" dxfId="58" priority="64">
      <formula>NOT(ISBLANK(INDIRECT("RC28",FALSE)))</formula>
    </cfRule>
  </conditionalFormatting>
  <conditionalFormatting sqref="D20">
    <cfRule type="expression" dxfId="57" priority="59" stopIfTrue="1">
      <formula>AND(ISBLANK(INDIRECT("RC2",FALSE)),NOT(ISBLANK(INDIRECT("RC3",FALSE))))</formula>
    </cfRule>
  </conditionalFormatting>
  <conditionalFormatting sqref="D20">
    <cfRule type="expression" dxfId="56" priority="60">
      <formula>NOT(ISBLANK(INDIRECT("RC28",FALSE)))</formula>
    </cfRule>
  </conditionalFormatting>
  <conditionalFormatting sqref="D20">
    <cfRule type="expression" dxfId="55" priority="57" stopIfTrue="1">
      <formula>AND(ISBLANK(INDIRECT("RC2",FALSE)),NOT(ISBLANK(INDIRECT("RC3",FALSE))))</formula>
    </cfRule>
  </conditionalFormatting>
  <conditionalFormatting sqref="D20">
    <cfRule type="expression" dxfId="54" priority="58">
      <formula>NOT(ISBLANK(INDIRECT("RC28",FALSE)))</formula>
    </cfRule>
  </conditionalFormatting>
  <conditionalFormatting sqref="D20">
    <cfRule type="expression" dxfId="53" priority="55" stopIfTrue="1">
      <formula>AND(ISBLANK(INDIRECT("RC2",FALSE)),NOT(ISBLANK(INDIRECT("RC3",FALSE))))</formula>
    </cfRule>
  </conditionalFormatting>
  <conditionalFormatting sqref="D20">
    <cfRule type="expression" dxfId="52" priority="56">
      <formula>NOT(ISBLANK(INDIRECT("RC28",FALSE)))</formula>
    </cfRule>
  </conditionalFormatting>
  <conditionalFormatting sqref="D20">
    <cfRule type="expression" dxfId="51" priority="51">
      <formula>NOT(ISBLANK(INDIRECT("RC28",FALSE)))</formula>
    </cfRule>
  </conditionalFormatting>
  <conditionalFormatting sqref="D20">
    <cfRule type="expression" dxfId="50" priority="52" stopIfTrue="1">
      <formula>AND(ISBLANK(INDIRECT("RC2",FALSE)),NOT(ISBLANK(INDIRECT("RC3",FALSE))))</formula>
    </cfRule>
  </conditionalFormatting>
  <conditionalFormatting sqref="D20">
    <cfRule type="expression" dxfId="49" priority="53" stopIfTrue="1">
      <formula>AND(ISBLANK(INDIRECT("RC2",FALSE)),NOT(ISBLANK(INDIRECT("RC3",FALSE))))</formula>
    </cfRule>
  </conditionalFormatting>
  <conditionalFormatting sqref="D20">
    <cfRule type="expression" dxfId="48" priority="54">
      <formula>NOT(ISBLANK(INDIRECT("RC28",FALSE)))</formula>
    </cfRule>
  </conditionalFormatting>
  <conditionalFormatting sqref="D20">
    <cfRule type="expression" dxfId="47" priority="49" stopIfTrue="1">
      <formula>AND(ISBLANK(INDIRECT("RC2",FALSE)),NOT(ISBLANK(INDIRECT("RC3",FALSE))))</formula>
    </cfRule>
  </conditionalFormatting>
  <conditionalFormatting sqref="D20">
    <cfRule type="expression" dxfId="46" priority="50">
      <formula>NOT(ISBLANK(INDIRECT("RC28",FALSE)))</formula>
    </cfRule>
  </conditionalFormatting>
  <conditionalFormatting sqref="D23">
    <cfRule type="expression" dxfId="45" priority="47">
      <formula>NOT(ISBLANK(INDIRECT("RC28",FALSE)))</formula>
    </cfRule>
  </conditionalFormatting>
  <conditionalFormatting sqref="D23">
    <cfRule type="expression" dxfId="44" priority="48" stopIfTrue="1">
      <formula>AND(ISBLANK(INDIRECT("RC2",FALSE)),NOT(ISBLANK(INDIRECT("RC3",FALSE))))</formula>
    </cfRule>
  </conditionalFormatting>
  <conditionalFormatting sqref="D23">
    <cfRule type="expression" dxfId="43" priority="43">
      <formula>NOT(ISBLANK(INDIRECT("RC28",FALSE)))</formula>
    </cfRule>
  </conditionalFormatting>
  <conditionalFormatting sqref="D23">
    <cfRule type="expression" dxfId="42" priority="44" stopIfTrue="1">
      <formula>AND(ISBLANK(INDIRECT("RC2",FALSE)),NOT(ISBLANK(INDIRECT("RC3",FALSE))))</formula>
    </cfRule>
  </conditionalFormatting>
  <conditionalFormatting sqref="D23">
    <cfRule type="expression" dxfId="41" priority="45" stopIfTrue="1">
      <formula>AND(ISBLANK(INDIRECT("RC2",FALSE)),NOT(ISBLANK(INDIRECT("RC3",FALSE))))</formula>
    </cfRule>
  </conditionalFormatting>
  <conditionalFormatting sqref="D23">
    <cfRule type="expression" dxfId="40" priority="46">
      <formula>NOT(ISBLANK(INDIRECT("RC28",FALSE)))</formula>
    </cfRule>
  </conditionalFormatting>
  <conditionalFormatting sqref="D23">
    <cfRule type="expression" dxfId="39" priority="41" stopIfTrue="1">
      <formula>AND(ISBLANK(INDIRECT("RC2",FALSE)),NOT(ISBLANK(INDIRECT("RC3",FALSE))))</formula>
    </cfRule>
  </conditionalFormatting>
  <conditionalFormatting sqref="D23">
    <cfRule type="expression" dxfId="38" priority="42">
      <formula>NOT(ISBLANK(INDIRECT("RC28",FALSE)))</formula>
    </cfRule>
  </conditionalFormatting>
  <conditionalFormatting sqref="D23">
    <cfRule type="expression" dxfId="37" priority="37">
      <formula>NOT(ISBLANK(INDIRECT("RC28",FALSE)))</formula>
    </cfRule>
  </conditionalFormatting>
  <conditionalFormatting sqref="D23">
    <cfRule type="expression" dxfId="36" priority="38" stopIfTrue="1">
      <formula>AND(ISBLANK(INDIRECT("RC2",FALSE)),NOT(ISBLANK(INDIRECT("RC3",FALSE))))</formula>
    </cfRule>
  </conditionalFormatting>
  <conditionalFormatting sqref="D23">
    <cfRule type="expression" dxfId="35" priority="39" stopIfTrue="1">
      <formula>AND(ISBLANK(INDIRECT("RC2",FALSE)),NOT(ISBLANK(INDIRECT("RC3",FALSE))))</formula>
    </cfRule>
  </conditionalFormatting>
  <conditionalFormatting sqref="D23">
    <cfRule type="expression" dxfId="34" priority="40">
      <formula>NOT(ISBLANK(INDIRECT("RC28",FALSE)))</formula>
    </cfRule>
  </conditionalFormatting>
  <conditionalFormatting sqref="D23">
    <cfRule type="expression" dxfId="33" priority="35" stopIfTrue="1">
      <formula>AND(ISBLANK(INDIRECT("RC2",FALSE)),NOT(ISBLANK(INDIRECT("RC3",FALSE))))</formula>
    </cfRule>
  </conditionalFormatting>
  <conditionalFormatting sqref="D23">
    <cfRule type="expression" dxfId="32" priority="36">
      <formula>NOT(ISBLANK(INDIRECT("RC28",FALSE)))</formula>
    </cfRule>
  </conditionalFormatting>
  <conditionalFormatting sqref="V23">
    <cfRule type="expression" dxfId="31" priority="31">
      <formula>NOT(ISBLANK(INDIRECT("RC28",FALSE)))</formula>
    </cfRule>
  </conditionalFormatting>
  <conditionalFormatting sqref="V23">
    <cfRule type="expression" dxfId="30" priority="32" stopIfTrue="1">
      <formula>AND(ISBLANK(INDIRECT("RC2",FALSE)),NOT(ISBLANK(INDIRECT("RC3",FALSE))))</formula>
    </cfRule>
  </conditionalFormatting>
  <conditionalFormatting sqref="U23">
    <cfRule type="expression" dxfId="29" priority="29">
      <formula>NOT(ISBLANK(INDIRECT("RC28",FALSE)))</formula>
    </cfRule>
  </conditionalFormatting>
  <conditionalFormatting sqref="U23">
    <cfRule type="expression" dxfId="28" priority="30" stopIfTrue="1">
      <formula>AND(ISBLANK(INDIRECT("RC2",FALSE)),NOT(ISBLANK(INDIRECT("RC3",FALSE))))</formula>
    </cfRule>
  </conditionalFormatting>
  <conditionalFormatting sqref="W21">
    <cfRule type="expression" dxfId="27" priority="27">
      <formula>NOT(ISBLANK(INDIRECT("RC28",FALSE)))</formula>
    </cfRule>
  </conditionalFormatting>
  <conditionalFormatting sqref="W21">
    <cfRule type="expression" dxfId="26" priority="28" stopIfTrue="1">
      <formula>AND(ISBLANK(INDIRECT("RC2",FALSE)),NOT(ISBLANK(INDIRECT("RC3",FALSE))))</formula>
    </cfRule>
  </conditionalFormatting>
  <conditionalFormatting sqref="C19">
    <cfRule type="expression" dxfId="25" priority="25" stopIfTrue="1">
      <formula>AND(ISBLANK(INDIRECT("RC2",FALSE)),NOT(ISBLANK(INDIRECT("RC3",FALSE))))</formula>
    </cfRule>
  </conditionalFormatting>
  <conditionalFormatting sqref="C19">
    <cfRule type="expression" dxfId="24" priority="26">
      <formula>NOT(ISBLANK(INDIRECT("RC28",FALSE)))</formula>
    </cfRule>
  </conditionalFormatting>
  <conditionalFormatting sqref="C20">
    <cfRule type="expression" dxfId="23" priority="21">
      <formula>NOT(ISBLANK(INDIRECT("RC28",FALSE)))</formula>
    </cfRule>
  </conditionalFormatting>
  <conditionalFormatting sqref="C20">
    <cfRule type="expression" dxfId="22" priority="22" stopIfTrue="1">
      <formula>AND(ISBLANK(INDIRECT("RC2",FALSE)),NOT(ISBLANK(INDIRECT("RC3",FALSE))))</formula>
    </cfRule>
  </conditionalFormatting>
  <conditionalFormatting sqref="C20">
    <cfRule type="expression" dxfId="21" priority="23" stopIfTrue="1">
      <formula>AND(ISBLANK(INDIRECT("RC2",FALSE)),NOT(ISBLANK(INDIRECT("RC3",FALSE))))</formula>
    </cfRule>
  </conditionalFormatting>
  <conditionalFormatting sqref="C20">
    <cfRule type="expression" dxfId="20" priority="24">
      <formula>NOT(ISBLANK(INDIRECT("RC28",FALSE)))</formula>
    </cfRule>
  </conditionalFormatting>
  <conditionalFormatting sqref="C20">
    <cfRule type="expression" dxfId="19" priority="19" stopIfTrue="1">
      <formula>AND(ISBLANK(INDIRECT("RC2",FALSE)),NOT(ISBLANK(INDIRECT("RC3",FALSE))))</formula>
    </cfRule>
  </conditionalFormatting>
  <conditionalFormatting sqref="C20">
    <cfRule type="expression" dxfId="18" priority="20">
      <formula>NOT(ISBLANK(INDIRECT("RC28",FALSE)))</formula>
    </cfRule>
  </conditionalFormatting>
  <conditionalFormatting sqref="C23">
    <cfRule type="expression" dxfId="17" priority="11" stopIfTrue="1">
      <formula>AND(ISBLANK(INDIRECT("RC2",FALSE)),NOT(ISBLANK(INDIRECT("RC3",FALSE))))</formula>
    </cfRule>
  </conditionalFormatting>
  <conditionalFormatting sqref="C23">
    <cfRule type="expression" dxfId="16" priority="12">
      <formula>NOT(ISBLANK(INDIRECT("RC28",FALSE)))</formula>
    </cfRule>
  </conditionalFormatting>
  <conditionalFormatting sqref="C22">
    <cfRule type="expression" dxfId="15" priority="13">
      <formula>NOT(ISBLANK(INDIRECT("RC28",FALSE)))</formula>
    </cfRule>
  </conditionalFormatting>
  <conditionalFormatting sqref="C22">
    <cfRule type="expression" dxfId="14" priority="14" stopIfTrue="1">
      <formula>AND(ISBLANK(INDIRECT("RC2",FALSE)),NOT(ISBLANK(INDIRECT("RC3",FALSE))))</formula>
    </cfRule>
  </conditionalFormatting>
  <conditionalFormatting sqref="C21">
    <cfRule type="expression" dxfId="13" priority="15" stopIfTrue="1">
      <formula>AND(ISBLANK(INDIRECT("RC2",FALSE)),NOT(ISBLANK(INDIRECT("RC3",FALSE))))</formula>
    </cfRule>
  </conditionalFormatting>
  <conditionalFormatting sqref="C21">
    <cfRule type="expression" dxfId="12" priority="16">
      <formula>NOT(ISBLANK(INDIRECT("RC28",FALSE)))</formula>
    </cfRule>
  </conditionalFormatting>
  <conditionalFormatting sqref="C22">
    <cfRule type="expression" dxfId="11" priority="17" stopIfTrue="1">
      <formula>AND(ISBLANK(INDIRECT("RC2",FALSE)),NOT(ISBLANK(INDIRECT("RC3",FALSE))))</formula>
    </cfRule>
  </conditionalFormatting>
  <conditionalFormatting sqref="C22">
    <cfRule type="expression" dxfId="10" priority="18">
      <formula>NOT(ISBLANK(INDIRECT("RC28",FALSE)))</formula>
    </cfRule>
  </conditionalFormatting>
  <conditionalFormatting sqref="C22">
    <cfRule type="expression" dxfId="9" priority="9" stopIfTrue="1">
      <formula>AND(ISBLANK(INDIRECT("RC2",FALSE)),NOT(ISBLANK(INDIRECT("RC3",FALSE))))</formula>
    </cfRule>
  </conditionalFormatting>
  <conditionalFormatting sqref="C22">
    <cfRule type="expression" dxfId="8" priority="10">
      <formula>NOT(ISBLANK(INDIRECT("RC28",FALSE)))</formula>
    </cfRule>
  </conditionalFormatting>
  <conditionalFormatting sqref="C23">
    <cfRule type="expression" dxfId="7" priority="5">
      <formula>NOT(ISBLANK(INDIRECT("RC28",FALSE)))</formula>
    </cfRule>
  </conditionalFormatting>
  <conditionalFormatting sqref="C23">
    <cfRule type="expression" dxfId="6" priority="6" stopIfTrue="1">
      <formula>AND(ISBLANK(INDIRECT("RC2",FALSE)),NOT(ISBLANK(INDIRECT("RC3",FALSE))))</formula>
    </cfRule>
  </conditionalFormatting>
  <conditionalFormatting sqref="C23">
    <cfRule type="expression" dxfId="5" priority="7" stopIfTrue="1">
      <formula>AND(ISBLANK(INDIRECT("RC2",FALSE)),NOT(ISBLANK(INDIRECT("RC3",FALSE))))</formula>
    </cfRule>
  </conditionalFormatting>
  <conditionalFormatting sqref="C23">
    <cfRule type="expression" dxfId="4" priority="8">
      <formula>NOT(ISBLANK(INDIRECT("RC28",FALSE)))</formula>
    </cfRule>
  </conditionalFormatting>
  <conditionalFormatting sqref="C23">
    <cfRule type="expression" dxfId="3" priority="3" stopIfTrue="1">
      <formula>AND(ISBLANK(INDIRECT("RC2",FALSE)),NOT(ISBLANK(INDIRECT("RC3",FALSE))))</formula>
    </cfRule>
  </conditionalFormatting>
  <conditionalFormatting sqref="C23">
    <cfRule type="expression" dxfId="2" priority="4">
      <formula>NOT(ISBLANK(INDIRECT("RC28",FALSE)))</formula>
    </cfRule>
  </conditionalFormatting>
  <conditionalFormatting sqref="C16:AC16">
    <cfRule type="expression" dxfId="1" priority="2">
      <formula>NOT(ISBLANK(INDIRECT("RC28",FALSE)))</formula>
    </cfRule>
  </conditionalFormatting>
  <conditionalFormatting sqref="C16:AC16">
    <cfRule type="expression" dxfId="0" priority="1" stopIfTrue="1">
      <formula>AND(ISBLANK(INDIRECT("RC2",FALSE)),NOT(ISBLANK(INDIRECT("RC3",FALSE))))</formula>
    </cfRule>
  </conditionalFormatting>
  <dataValidations count="6">
    <dataValidation type="list" allowBlank="1" showErrorMessage="1" sqref="V12:V14 V17:V23" xr:uid="{00000000-0002-0000-0A00-000000000000}">
      <formula1>"TEXT,VARCHAR,CHAR,NUMERIC,integer,boolean,bytea,DATE(時刻無),TIMESTAMP"</formula1>
    </dataValidation>
    <dataValidation type="list" allowBlank="1" showInputMessage="1" showErrorMessage="1" sqref="AC12:AC115" xr:uid="{00000000-0002-0000-0A00-000001000000}">
      <formula1>"親,子"</formula1>
    </dataValidation>
    <dataValidation type="list" allowBlank="1" showErrorMessage="1" sqref="U12:U14 U17:U23" xr:uid="{00000000-0002-0000-0A00-000002000000}">
      <formula1>"○"</formula1>
    </dataValidation>
    <dataValidation type="list" allowBlank="1" showInputMessage="1" showErrorMessage="1" sqref="F11:T11" xr:uid="{00000000-0002-0000-0A00-000003000000}">
      <formula1>"IN,uIN,BR,uBR"</formula1>
    </dataValidation>
    <dataValidation type="list" allowBlank="1" showInputMessage="1" showErrorMessage="1" sqref="V13:V16 V24:V115" xr:uid="{00000000-0002-0000-0A00-000004000000}">
      <formula1>"TEXT,VARCHAR,CHAR,NUMERIC,integer,boolean,bytea,DATE(時刻無),TIMESTAMP"</formula1>
    </dataValidation>
    <dataValidation type="list" allowBlank="1" showInputMessage="1" showErrorMessage="1" sqref="J5:T5 U15:U16 AB12:AB115 U24:U115" xr:uid="{00000000-0002-0000-0A00-000005000000}">
      <formula1>"○"</formula1>
    </dataValidation>
  </dataValidations>
  <printOptions gridLinesSet="0"/>
  <pageMargins left="0.75" right="0.75" top="1" bottom="1" header="0.51200000000000001" footer="0.51200000000000001"/>
  <pageSetup paperSize="9" scale="28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B1:Y17"/>
  <sheetViews>
    <sheetView showGridLines="0" workbookViewId="0">
      <selection activeCell="C21" sqref="C21"/>
    </sheetView>
  </sheetViews>
  <sheetFormatPr defaultColWidth="9.109375" defaultRowHeight="12"/>
  <cols>
    <col min="1" max="1" width="2.5546875" style="9" customWidth="1"/>
    <col min="2" max="2" width="28.88671875" style="9" bestFit="1" customWidth="1"/>
    <col min="3" max="4" width="17.88671875" style="9" customWidth="1"/>
    <col min="5" max="5" width="20.44140625" style="9" bestFit="1" customWidth="1"/>
    <col min="6" max="6" width="24.88671875" style="9" bestFit="1" customWidth="1"/>
    <col min="7" max="9" width="14.88671875" style="9" customWidth="1"/>
    <col min="10" max="10" width="15.88671875" style="9" customWidth="1"/>
    <col min="11" max="15" width="14.88671875" style="9" customWidth="1"/>
    <col min="16" max="16" width="14.88671875" style="10" customWidth="1"/>
    <col min="17" max="25" width="14.88671875" style="9" customWidth="1"/>
    <col min="26" max="16384" width="9.109375" style="9"/>
  </cols>
  <sheetData>
    <row r="1" spans="2:25">
      <c r="E1" s="9" t="s">
        <v>61</v>
      </c>
      <c r="G1" s="9" t="s">
        <v>61</v>
      </c>
      <c r="H1" s="47" t="s">
        <v>65</v>
      </c>
      <c r="J1" s="9">
        <f>COLUMN()</f>
        <v>10</v>
      </c>
    </row>
    <row r="2" spans="2:25" ht="12.6" thickBot="1">
      <c r="B2" s="54" t="s">
        <v>56</v>
      </c>
      <c r="C2" s="54" t="s">
        <v>59</v>
      </c>
      <c r="D2" s="54" t="s">
        <v>60</v>
      </c>
      <c r="E2" s="54" t="s">
        <v>63</v>
      </c>
      <c r="F2" s="54" t="s">
        <v>64</v>
      </c>
      <c r="G2" s="55" t="s">
        <v>0</v>
      </c>
      <c r="H2" s="55" t="s">
        <v>57</v>
      </c>
      <c r="I2" s="55" t="s">
        <v>58</v>
      </c>
      <c r="J2" s="55" t="s">
        <v>1</v>
      </c>
      <c r="K2" s="55" t="s">
        <v>2</v>
      </c>
      <c r="L2" s="55" t="s">
        <v>3</v>
      </c>
      <c r="M2" s="55" t="s">
        <v>4</v>
      </c>
      <c r="N2" s="55" t="s">
        <v>5</v>
      </c>
      <c r="O2" s="55" t="s">
        <v>6</v>
      </c>
      <c r="P2" s="55" t="s">
        <v>17</v>
      </c>
      <c r="Q2" s="55" t="s">
        <v>18</v>
      </c>
      <c r="R2" s="55" t="s">
        <v>19</v>
      </c>
      <c r="S2" s="55" t="s">
        <v>20</v>
      </c>
      <c r="T2" s="55" t="s">
        <v>21</v>
      </c>
      <c r="U2" s="55" t="s">
        <v>22</v>
      </c>
      <c r="V2" s="55" t="s">
        <v>23</v>
      </c>
      <c r="W2" s="55" t="s">
        <v>24</v>
      </c>
      <c r="X2" s="55" t="s">
        <v>25</v>
      </c>
      <c r="Y2" s="55" t="s">
        <v>26</v>
      </c>
    </row>
    <row r="3" spans="2:25" ht="12.6" thickTop="1">
      <c r="B3" s="48" t="s">
        <v>273</v>
      </c>
      <c r="C3" s="49">
        <v>100</v>
      </c>
      <c r="D3" s="49">
        <v>61</v>
      </c>
      <c r="E3" s="50">
        <f ca="1">SUM(INDIRECT("RC7:RC8",FALSE))</f>
        <v>16384</v>
      </c>
      <c r="F3" s="50">
        <f ca="1">SUM(INDIRECT("RC9:RC25",FALSE))</f>
        <v>16384</v>
      </c>
      <c r="G3" s="50">
        <v>16384</v>
      </c>
      <c r="H3" s="50">
        <v>0</v>
      </c>
      <c r="I3" s="50">
        <v>8192</v>
      </c>
      <c r="J3" s="50">
        <v>8192</v>
      </c>
      <c r="K3" s="50">
        <v>0</v>
      </c>
      <c r="L3" s="50">
        <v>0</v>
      </c>
      <c r="M3" s="50">
        <v>0</v>
      </c>
      <c r="N3" s="50">
        <v>0</v>
      </c>
      <c r="O3" s="50">
        <v>0</v>
      </c>
      <c r="P3" s="50">
        <v>0</v>
      </c>
      <c r="Q3" s="50">
        <v>0</v>
      </c>
      <c r="R3" s="50">
        <v>0</v>
      </c>
      <c r="S3" s="50">
        <v>0</v>
      </c>
      <c r="T3" s="50">
        <v>0</v>
      </c>
      <c r="U3" s="50">
        <v>0</v>
      </c>
      <c r="V3" s="50">
        <v>0</v>
      </c>
      <c r="W3" s="50">
        <v>0</v>
      </c>
      <c r="X3" s="50">
        <v>0</v>
      </c>
      <c r="Y3" s="50">
        <v>0</v>
      </c>
    </row>
    <row r="4" spans="2:25">
      <c r="B4" s="45" t="s">
        <v>274</v>
      </c>
      <c r="C4" s="51">
        <v>10000</v>
      </c>
      <c r="D4" s="51">
        <v>2897</v>
      </c>
      <c r="E4" s="52">
        <f ca="1">SUM(INDIRECT("RC7:RC8",FALSE))</f>
        <v>29376512</v>
      </c>
      <c r="F4" s="52">
        <f ca="1">SUM(INDIRECT("RC9:RC25",FALSE))</f>
        <v>188416</v>
      </c>
      <c r="G4" s="52">
        <v>29376512</v>
      </c>
      <c r="H4" s="52">
        <v>0</v>
      </c>
      <c r="I4" s="52">
        <v>8192</v>
      </c>
      <c r="J4" s="52">
        <v>180224</v>
      </c>
      <c r="K4" s="52">
        <v>0</v>
      </c>
      <c r="L4" s="52">
        <v>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0</v>
      </c>
      <c r="S4" s="52">
        <v>0</v>
      </c>
      <c r="T4" s="52">
        <v>0</v>
      </c>
      <c r="U4" s="52">
        <v>0</v>
      </c>
      <c r="V4" s="52">
        <v>0</v>
      </c>
      <c r="W4" s="52">
        <v>0</v>
      </c>
      <c r="X4" s="52">
        <v>0</v>
      </c>
      <c r="Y4" s="52">
        <v>0</v>
      </c>
    </row>
    <row r="5" spans="2:25">
      <c r="B5" s="45" t="s">
        <v>275</v>
      </c>
      <c r="C5" s="51">
        <v>1</v>
      </c>
      <c r="D5" s="51">
        <v>535</v>
      </c>
      <c r="E5" s="52">
        <f ca="1">SUM(INDIRECT("RC7:RC8",FALSE))</f>
        <v>851968</v>
      </c>
      <c r="F5" s="52">
        <f ca="1">SUM(INDIRECT("RC9:RC25",FALSE))</f>
        <v>24576</v>
      </c>
      <c r="G5" s="52">
        <v>8192</v>
      </c>
      <c r="H5" s="52">
        <v>843776</v>
      </c>
      <c r="I5" s="52">
        <v>16384</v>
      </c>
      <c r="J5" s="52">
        <v>8192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</row>
    <row r="6" spans="2:25">
      <c r="B6" s="45" t="s">
        <v>276</v>
      </c>
      <c r="C6" s="51">
        <v>1000</v>
      </c>
      <c r="D6" s="51">
        <v>175</v>
      </c>
      <c r="E6" s="52">
        <f ca="1">SUM(INDIRECT("RC7:RC8",FALSE))</f>
        <v>212992</v>
      </c>
      <c r="F6" s="52">
        <f ca="1">SUM(INDIRECT("RC9:RC25",FALSE))</f>
        <v>32768</v>
      </c>
      <c r="G6" s="52">
        <v>212992</v>
      </c>
      <c r="H6" s="52">
        <v>0</v>
      </c>
      <c r="I6" s="52">
        <v>8192</v>
      </c>
      <c r="J6" s="52">
        <v>24576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</row>
    <row r="7" spans="2:25">
      <c r="B7" s="45" t="s">
        <v>180</v>
      </c>
      <c r="C7" s="51">
        <v>20000</v>
      </c>
      <c r="D7" s="51">
        <v>25380</v>
      </c>
      <c r="E7" s="52">
        <f ca="1">SUM(INDIRECT("RC7:RC8",FALSE))</f>
        <v>11609899008</v>
      </c>
      <c r="F7" s="52">
        <f ca="1">SUM(INDIRECT("RC9:RC25",FALSE))</f>
        <v>121331712</v>
      </c>
      <c r="G7" s="52">
        <v>509739008</v>
      </c>
      <c r="H7" s="52">
        <v>11100160000</v>
      </c>
      <c r="I7" s="52">
        <v>120840192</v>
      </c>
      <c r="J7" s="52">
        <v>491520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</row>
    <row r="8" spans="2:25">
      <c r="B8" s="45" t="s">
        <v>481</v>
      </c>
      <c r="C8" s="51">
        <v>20000</v>
      </c>
      <c r="D8" s="51">
        <v>18584</v>
      </c>
      <c r="E8" s="52">
        <f ca="1">SUM(INDIRECT("RC7:RC8",FALSE))</f>
        <v>5943975936</v>
      </c>
      <c r="F8" s="52">
        <f ca="1">SUM(INDIRECT("RC9:RC25",FALSE))</f>
        <v>61136896</v>
      </c>
      <c r="G8" s="52">
        <v>373415936</v>
      </c>
      <c r="H8" s="52">
        <v>5570560000</v>
      </c>
      <c r="I8" s="52">
        <v>60645376</v>
      </c>
      <c r="J8" s="52">
        <v>491520</v>
      </c>
      <c r="K8" s="52">
        <v>0</v>
      </c>
      <c r="L8" s="52">
        <v>0</v>
      </c>
      <c r="M8" s="52">
        <v>0</v>
      </c>
      <c r="N8" s="52">
        <v>0</v>
      </c>
      <c r="O8" s="52">
        <v>0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</row>
    <row r="9" spans="2:25">
      <c r="B9" s="45" t="s">
        <v>254</v>
      </c>
      <c r="C9" s="51">
        <v>2000000</v>
      </c>
      <c r="D9" s="51">
        <v>2942</v>
      </c>
      <c r="E9" s="52">
        <f ca="1">SUM(INDIRECT("RC7:RC8",FALSE))</f>
        <v>5965479936</v>
      </c>
      <c r="F9" s="52">
        <f ca="1">SUM(INDIRECT("RC9:RC25",FALSE))</f>
        <v>57974784</v>
      </c>
      <c r="G9" s="52">
        <v>5965479936</v>
      </c>
      <c r="H9" s="52">
        <v>0</v>
      </c>
      <c r="I9" s="52">
        <v>8192</v>
      </c>
      <c r="J9" s="52">
        <v>57966592</v>
      </c>
      <c r="K9" s="52">
        <v>0</v>
      </c>
      <c r="L9" s="52">
        <v>0</v>
      </c>
      <c r="M9" s="52">
        <v>0</v>
      </c>
      <c r="N9" s="52">
        <v>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</row>
    <row r="10" spans="2:25">
      <c r="B10" s="45" t="s">
        <v>521</v>
      </c>
      <c r="C10" s="51">
        <v>2000000</v>
      </c>
      <c r="D10" s="51">
        <v>2942</v>
      </c>
      <c r="E10" s="52">
        <f ca="1">SUM(INDIRECT("RC7:RC8",FALSE))</f>
        <v>5965479936</v>
      </c>
      <c r="F10" s="52">
        <f ca="1">SUM(INDIRECT("RC9:RC25",FALSE))</f>
        <v>57974784</v>
      </c>
      <c r="G10" s="52">
        <v>5965479936</v>
      </c>
      <c r="H10" s="52">
        <v>0</v>
      </c>
      <c r="I10" s="52">
        <v>8192</v>
      </c>
      <c r="J10" s="52">
        <v>57966592</v>
      </c>
      <c r="K10" s="52">
        <v>0</v>
      </c>
      <c r="L10" s="52">
        <v>0</v>
      </c>
      <c r="M10" s="52">
        <v>0</v>
      </c>
      <c r="N10" s="52">
        <v>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</row>
    <row r="11" spans="2:25">
      <c r="B11" s="45" t="s">
        <v>257</v>
      </c>
      <c r="C11" s="51">
        <v>3000000</v>
      </c>
      <c r="D11" s="51">
        <v>3022</v>
      </c>
      <c r="E11" s="52">
        <f ca="1">SUM(INDIRECT("RC7:RC8",FALSE))</f>
        <v>9188925440</v>
      </c>
      <c r="F11" s="52">
        <f ca="1">SUM(INDIRECT("RC9:RC25",FALSE))</f>
        <v>354500608</v>
      </c>
      <c r="G11" s="52">
        <v>9188925440</v>
      </c>
      <c r="H11" s="52">
        <v>0</v>
      </c>
      <c r="I11" s="52">
        <v>8192</v>
      </c>
      <c r="J11" s="52">
        <v>354492416</v>
      </c>
      <c r="K11" s="52">
        <v>0</v>
      </c>
      <c r="L11" s="52">
        <v>0</v>
      </c>
      <c r="M11" s="52">
        <v>0</v>
      </c>
      <c r="N11" s="52">
        <v>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</row>
    <row r="12" spans="2:25">
      <c r="B12" s="45" t="s">
        <v>265</v>
      </c>
      <c r="C12" s="51">
        <v>3000</v>
      </c>
      <c r="D12" s="51">
        <v>301</v>
      </c>
      <c r="E12" s="52">
        <f ca="1">SUM(INDIRECT("RC7:RC8",FALSE))</f>
        <v>1007616</v>
      </c>
      <c r="F12" s="52">
        <f ca="1">SUM(INDIRECT("RC9:RC25",FALSE))</f>
        <v>557056</v>
      </c>
      <c r="G12" s="52">
        <v>1007616</v>
      </c>
      <c r="H12" s="52">
        <v>0</v>
      </c>
      <c r="I12" s="52">
        <v>8192</v>
      </c>
      <c r="J12" s="52">
        <v>548864</v>
      </c>
      <c r="K12" s="52">
        <v>0</v>
      </c>
      <c r="L12" s="52">
        <v>0</v>
      </c>
      <c r="M12" s="52">
        <v>0</v>
      </c>
      <c r="N12" s="52">
        <v>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</row>
    <row r="13" spans="2:25">
      <c r="B13" s="45" t="s">
        <v>439</v>
      </c>
      <c r="C13" s="51">
        <v>600000</v>
      </c>
      <c r="D13" s="51">
        <v>1837</v>
      </c>
      <c r="E13" s="52">
        <f ca="1">SUM(INDIRECT("RC7:RC8",FALSE))</f>
        <v>1124696064</v>
      </c>
      <c r="F13" s="52">
        <f ca="1">SUM(INDIRECT("RC9:RC25",FALSE))</f>
        <v>17399808</v>
      </c>
      <c r="G13" s="52">
        <v>1124696064</v>
      </c>
      <c r="H13" s="52">
        <v>0</v>
      </c>
      <c r="I13" s="52">
        <v>8192</v>
      </c>
      <c r="J13" s="52">
        <v>17391616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</row>
    <row r="14" spans="2:25">
      <c r="B14" s="45" t="s">
        <v>440</v>
      </c>
      <c r="C14" s="51">
        <v>50000</v>
      </c>
      <c r="D14" s="51">
        <v>538</v>
      </c>
      <c r="E14" s="52">
        <f ca="1">SUM(INDIRECT("RC7:RC8",FALSE))</f>
        <v>28590080</v>
      </c>
      <c r="F14" s="52">
        <f ca="1">SUM(INDIRECT("RC9:RC25",FALSE))</f>
        <v>1794048</v>
      </c>
      <c r="G14" s="52">
        <v>28590080</v>
      </c>
      <c r="H14" s="52">
        <v>0</v>
      </c>
      <c r="I14" s="52">
        <v>8192</v>
      </c>
      <c r="J14" s="52">
        <v>1785856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</row>
    <row r="15" spans="2: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2: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2:2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</sheetData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24</vt:i4>
      </vt:variant>
    </vt:vector>
  </HeadingPairs>
  <TitlesOfParts>
    <vt:vector size="38" baseType="lpstr">
      <vt:lpstr>check</vt:lpstr>
      <vt:lpstr>地域マスター</vt:lpstr>
      <vt:lpstr>部材マスター</vt:lpstr>
      <vt:lpstr>共通マスター</vt:lpstr>
      <vt:lpstr>画面項目変換マスター</vt:lpstr>
      <vt:lpstr>屋内設計ドキュメント</vt:lpstr>
      <vt:lpstr>屋内運用ドキュメント</vt:lpstr>
      <vt:lpstr>設計対象部材一覧</vt:lpstr>
      <vt:lpstr>運用対象部材一覧</vt:lpstr>
      <vt:lpstr>ユーザー部材一覧</vt:lpstr>
      <vt:lpstr>ユーザー専用設定情報</vt:lpstr>
      <vt:lpstr>タスク履歴</vt:lpstr>
      <vt:lpstr>オーダー情報管理</vt:lpstr>
      <vt:lpstr>サイズ見積り</vt:lpstr>
      <vt:lpstr>オーダー情報管理!Print_Area</vt:lpstr>
      <vt:lpstr>タスク履歴!Print_Area</vt:lpstr>
      <vt:lpstr>ユーザー専用設定情報!Print_Area</vt:lpstr>
      <vt:lpstr>ユーザー部材一覧!Print_Area</vt:lpstr>
      <vt:lpstr>運用対象部材一覧!Print_Area</vt:lpstr>
      <vt:lpstr>屋内運用ドキュメント!Print_Area</vt:lpstr>
      <vt:lpstr>屋内設計ドキュメント!Print_Area</vt:lpstr>
      <vt:lpstr>画面項目変換マスター!Print_Area</vt:lpstr>
      <vt:lpstr>共通マスター!Print_Area</vt:lpstr>
      <vt:lpstr>設計対象部材一覧!Print_Area</vt:lpstr>
      <vt:lpstr>地域マスター!Print_Area</vt:lpstr>
      <vt:lpstr>部材マスター!Print_Area</vt:lpstr>
      <vt:lpstr>オーダー情報管理!Print_Titles</vt:lpstr>
      <vt:lpstr>タスク履歴!Print_Titles</vt:lpstr>
      <vt:lpstr>ユーザー専用設定情報!Print_Titles</vt:lpstr>
      <vt:lpstr>ユーザー部材一覧!Print_Titles</vt:lpstr>
      <vt:lpstr>運用対象部材一覧!Print_Titles</vt:lpstr>
      <vt:lpstr>屋内運用ドキュメント!Print_Titles</vt:lpstr>
      <vt:lpstr>屋内設計ドキュメント!Print_Titles</vt:lpstr>
      <vt:lpstr>画面項目変換マスター!Print_Titles</vt:lpstr>
      <vt:lpstr>共通マスター!Print_Titles</vt:lpstr>
      <vt:lpstr>設計対象部材一覧!Print_Titles</vt:lpstr>
      <vt:lpstr>地域マスター!Print_Titles</vt:lpstr>
      <vt:lpstr>部材マスター!Print_Titles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developer01</cp:lastModifiedBy>
  <cp:lastPrinted>2010-04-20T10:23:09Z</cp:lastPrinted>
  <dcterms:created xsi:type="dcterms:W3CDTF">1996-08-30T07:27:54Z</dcterms:created>
  <dcterms:modified xsi:type="dcterms:W3CDTF">2021-04-06T10:55:52Z</dcterms:modified>
</cp:coreProperties>
</file>